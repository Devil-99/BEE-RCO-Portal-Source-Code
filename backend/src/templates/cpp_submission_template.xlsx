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vmaji\Downloads\Projects\BEE\bee_backend\src\templates\"/>
    </mc:Choice>
  </mc:AlternateContent>
  <xr:revisionPtr revIDLastSave="0" documentId="13_ncr:1_{0C22949E-B3C6-4497-A125-44234B13EBAF}" xr6:coauthVersionLast="47" xr6:coauthVersionMax="47" xr10:uidLastSave="{00000000-0000-0000-0000-000000000000}"/>
  <bookViews>
    <workbookView xWindow="-108" yWindow="-108" windowWidth="23256" windowHeight="13176" xr2:uid="{F2C86953-CCF1-4D46-B8F6-9A77EE4C5183}"/>
  </bookViews>
  <sheets>
    <sheet name="Section" sheetId="1" r:id="rId1"/>
    <sheet name="Section_C" sheetId="4" r:id="rId2"/>
    <sheet name="Section_D" sheetId="3" r:id="rId3"/>
    <sheet name="_META_" sheetId="2" r:id="rId4"/>
  </sheets>
  <externalReferences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3" i="4"/>
  <c r="D11" i="4"/>
  <c r="D20" i="4"/>
  <c r="D16" i="1"/>
  <c r="D11" i="1"/>
  <c r="D19" i="1"/>
  <c r="D23" i="1"/>
  <c r="D31" i="1"/>
  <c r="D6" i="3"/>
  <c r="D3" i="3"/>
  <c r="D8" i="3"/>
  <c r="D5" i="3"/>
  <c r="D4" i="3"/>
  <c r="D7" i="3"/>
  <c r="D32" i="1"/>
  <c r="D26" i="1"/>
</calcChain>
</file>

<file path=xl/sharedStrings.xml><?xml version="1.0" encoding="utf-8"?>
<sst xmlns="http://schemas.openxmlformats.org/spreadsheetml/2006/main" count="258" uniqueCount="163">
  <si>
    <t>Name of Designated Consumer</t>
  </si>
  <si>
    <t xml:space="preserve">RCO Compliance Data reporting (Form A) - DCs with CPP &amp; Open Access </t>
  </si>
  <si>
    <t>Section A – Basic Information</t>
  </si>
  <si>
    <t>Energy Intensive Sector of Designated Consumer</t>
  </si>
  <si>
    <t>Registration No. of Designated Consumer</t>
  </si>
  <si>
    <t>Type of obligation(s) of Designated Consumer</t>
  </si>
  <si>
    <t>Target Year FY (__-__)</t>
  </si>
  <si>
    <t>Compliance Period (Quarter / Annual)</t>
  </si>
  <si>
    <t>Section B – Gross Total Energy Consumption (Fossil based + Non-fossil based)</t>
  </si>
  <si>
    <t xml:space="preserve">Particulars </t>
  </si>
  <si>
    <t>Nomenclature</t>
  </si>
  <si>
    <t>Unit</t>
  </si>
  <si>
    <t>Total Energy</t>
  </si>
  <si>
    <t>Own Electricity Generation, Net after deducting Auxiliary Power Consumption (APC)*** (Sub-Total)</t>
  </si>
  <si>
    <r>
      <t>AT=A+A</t>
    </r>
    <r>
      <rPr>
        <b/>
        <vertAlign val="superscript"/>
        <sz val="12"/>
        <color theme="1"/>
        <rFont val="Arial"/>
        <family val="2"/>
      </rPr>
      <t>!</t>
    </r>
    <r>
      <rPr>
        <b/>
        <sz val="12"/>
        <color theme="1"/>
        <rFont val="Arial"/>
        <family val="2"/>
      </rPr>
      <t>-A</t>
    </r>
    <r>
      <rPr>
        <b/>
        <vertAlign val="subscript"/>
        <sz val="12"/>
        <color theme="1"/>
        <rFont val="Arial"/>
        <family val="2"/>
      </rPr>
      <t>cogen</t>
    </r>
    <r>
      <rPr>
        <b/>
        <sz val="12"/>
        <color theme="1"/>
        <rFont val="Arial"/>
        <family val="2"/>
      </rPr>
      <t>/2-A**-A</t>
    </r>
    <r>
      <rPr>
        <b/>
        <vertAlign val="superscript"/>
        <sz val="12"/>
        <color theme="1"/>
        <rFont val="Arial"/>
        <family val="2"/>
      </rPr>
      <t xml:space="preserve">!!! </t>
    </r>
    <r>
      <rPr>
        <b/>
        <sz val="12"/>
        <color theme="1"/>
        <rFont val="Arial"/>
        <family val="2"/>
      </rPr>
      <t>-APC</t>
    </r>
    <r>
      <rPr>
        <b/>
        <vertAlign val="subscript"/>
        <sz val="12"/>
        <color theme="1"/>
        <rFont val="Arial"/>
        <family val="2"/>
      </rPr>
      <t>Total</t>
    </r>
  </si>
  <si>
    <t>MU</t>
  </si>
  <si>
    <t>Total Fossil based electricity generation *</t>
  </si>
  <si>
    <r>
      <t>A = A</t>
    </r>
    <r>
      <rPr>
        <vertAlign val="subscript"/>
        <sz val="10"/>
        <color theme="1"/>
        <rFont val="Arial"/>
        <family val="2"/>
      </rPr>
      <t>cogen</t>
    </r>
    <r>
      <rPr>
        <sz val="10"/>
        <color theme="1"/>
        <rFont val="Arial"/>
        <family val="2"/>
      </rPr>
      <t>+A</t>
    </r>
    <r>
      <rPr>
        <vertAlign val="subscript"/>
        <sz val="10"/>
        <color theme="1"/>
        <rFont val="Arial"/>
        <family val="2"/>
      </rPr>
      <t>non-cogen</t>
    </r>
  </si>
  <si>
    <t>Fossil based electricity from WHR **</t>
  </si>
  <si>
    <t>A**</t>
  </si>
  <si>
    <r>
      <t xml:space="preserve">Fossil based electricity from Waste Energy Recovery (WER) </t>
    </r>
    <r>
      <rPr>
        <b/>
        <vertAlign val="superscript"/>
        <sz val="10"/>
        <rFont val="Arial"/>
        <family val="2"/>
      </rPr>
      <t>!!</t>
    </r>
  </si>
  <si>
    <r>
      <t>A</t>
    </r>
    <r>
      <rPr>
        <vertAlign val="superscript"/>
        <sz val="10"/>
        <color theme="1"/>
        <rFont val="Arial"/>
        <family val="2"/>
      </rPr>
      <t>!!!</t>
    </r>
  </si>
  <si>
    <r>
      <t xml:space="preserve">Ex-Bus Electricity generation from Fossil based Auxiliary Firing in WHR &amp; WER System </t>
    </r>
    <r>
      <rPr>
        <b/>
        <vertAlign val="superscript"/>
        <sz val="10"/>
        <rFont val="Arial"/>
        <family val="2"/>
      </rPr>
      <t>!!!</t>
    </r>
  </si>
  <si>
    <r>
      <t>A</t>
    </r>
    <r>
      <rPr>
        <vertAlign val="superscript"/>
        <sz val="10"/>
        <color theme="1"/>
        <rFont val="Arial"/>
        <family val="2"/>
      </rPr>
      <t>!</t>
    </r>
  </si>
  <si>
    <r>
      <t xml:space="preserve">Balance Fossil based energy generation other than WHR and WER </t>
    </r>
    <r>
      <rPr>
        <vertAlign val="superscript"/>
        <sz val="10"/>
        <rFont val="Arial"/>
        <family val="2"/>
      </rPr>
      <t>(1)</t>
    </r>
  </si>
  <si>
    <r>
      <t>A</t>
    </r>
    <r>
      <rPr>
        <vertAlign val="subscript"/>
        <sz val="10"/>
        <color theme="1"/>
        <rFont val="Arial"/>
        <family val="2"/>
      </rPr>
      <t>non-cogen</t>
    </r>
  </si>
  <si>
    <r>
      <t xml:space="preserve">Co-generation component of Balance Fossil based generation (other than WHR and WER) </t>
    </r>
    <r>
      <rPr>
        <vertAlign val="superscript"/>
        <sz val="10"/>
        <rFont val="Arial"/>
        <family val="2"/>
      </rPr>
      <t>(2)</t>
    </r>
  </si>
  <si>
    <r>
      <t>A</t>
    </r>
    <r>
      <rPr>
        <vertAlign val="subscript"/>
        <sz val="10"/>
        <color theme="1"/>
        <rFont val="Arial"/>
        <family val="2"/>
      </rPr>
      <t>cogen</t>
    </r>
  </si>
  <si>
    <r>
      <t xml:space="preserve">APC corresponding to Generation including 50% Cogen and excluding WHR </t>
    </r>
    <r>
      <rPr>
        <vertAlign val="superscript"/>
        <sz val="10"/>
        <rFont val="Arial"/>
        <family val="2"/>
      </rPr>
      <t>(3)</t>
    </r>
  </si>
  <si>
    <r>
      <t>APC</t>
    </r>
    <r>
      <rPr>
        <vertAlign val="subscript"/>
        <sz val="10"/>
        <color theme="1"/>
        <rFont val="Arial"/>
        <family val="2"/>
      </rPr>
      <t>Total</t>
    </r>
  </si>
  <si>
    <t>Electricity Purchase through Open Access and Banking (Sub-Total)</t>
  </si>
  <si>
    <t>CT=C+D</t>
  </si>
  <si>
    <t>Fossil based energy (through PPA/Bilateral and Power Exchanges)</t>
  </si>
  <si>
    <t>C</t>
  </si>
  <si>
    <r>
      <t xml:space="preserve">Banking (Drawl) of Electricity </t>
    </r>
    <r>
      <rPr>
        <vertAlign val="superscript"/>
        <sz val="10"/>
        <rFont val="Arial"/>
        <family val="2"/>
      </rPr>
      <t>(4)</t>
    </r>
  </si>
  <si>
    <t>D</t>
  </si>
  <si>
    <t>Electricity Purchase from Discom (Not included in RCO calculations)</t>
  </si>
  <si>
    <r>
      <t>E</t>
    </r>
    <r>
      <rPr>
        <b/>
        <vertAlign val="subscript"/>
        <sz val="10"/>
        <color theme="1"/>
        <rFont val="Arial"/>
        <family val="2"/>
      </rPr>
      <t>DISCOM</t>
    </r>
  </si>
  <si>
    <t>Electricity Sales and Banking (Sub-Total)</t>
  </si>
  <si>
    <t>FT=F+G</t>
  </si>
  <si>
    <t>Fossil based electricity sales (PPA/Bilateral and Power Exchange)</t>
  </si>
  <si>
    <t>F</t>
  </si>
  <si>
    <r>
      <t xml:space="preserve">Banking (Storage) of Electricity </t>
    </r>
    <r>
      <rPr>
        <vertAlign val="superscript"/>
        <sz val="10"/>
        <rFont val="Arial"/>
        <family val="2"/>
      </rPr>
      <t>(4)</t>
    </r>
  </si>
  <si>
    <t>G</t>
  </si>
  <si>
    <r>
      <t xml:space="preserve">Net Fossil Energy drawn from Storage (Sub-Total) </t>
    </r>
    <r>
      <rPr>
        <b/>
        <vertAlign val="superscript"/>
        <sz val="12"/>
        <color rgb="FF000000"/>
        <rFont val="Arial"/>
        <family val="2"/>
      </rPr>
      <t>!!!</t>
    </r>
  </si>
  <si>
    <r>
      <t>IT=(I-J)*(1-IT</t>
    </r>
    <r>
      <rPr>
        <b/>
        <vertAlign val="subscript"/>
        <sz val="10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)</t>
    </r>
  </si>
  <si>
    <t>Total Energy drawn from Storage (ESS)</t>
  </si>
  <si>
    <t>I</t>
  </si>
  <si>
    <t>Total Energy (Fossil + Nuclear) stored into Storage (ESS)</t>
  </si>
  <si>
    <t>J</t>
  </si>
  <si>
    <t>Losses in Storage (ESS)</t>
  </si>
  <si>
    <r>
      <t>IT</t>
    </r>
    <r>
      <rPr>
        <vertAlign val="subscript"/>
        <sz val="10"/>
        <color theme="1"/>
        <rFont val="Arial"/>
        <family val="2"/>
      </rPr>
      <t>L</t>
    </r>
  </si>
  <si>
    <t>%</t>
  </si>
  <si>
    <r>
      <t xml:space="preserve">Electricity Consumption at Aluminium Smelter </t>
    </r>
    <r>
      <rPr>
        <sz val="12"/>
        <color rgb="FF000000"/>
        <rFont val="Arial"/>
        <family val="2"/>
      </rPr>
      <t>(if applicable)</t>
    </r>
  </si>
  <si>
    <t xml:space="preserve">Gross Total Electricity Consumption on which Renewable Consumption Obligations is applicable </t>
  </si>
  <si>
    <t>K=AT+CT-FT+Y'</t>
  </si>
  <si>
    <t>Gross Total Energy Consumption</t>
  </si>
  <si>
    <r>
      <t>E</t>
    </r>
    <r>
      <rPr>
        <b/>
        <vertAlign val="subscript"/>
        <sz val="12"/>
        <color theme="1"/>
        <rFont val="Arial"/>
        <family val="2"/>
      </rPr>
      <t>total</t>
    </r>
    <r>
      <rPr>
        <b/>
        <sz val="12"/>
        <color theme="1"/>
        <rFont val="Arial"/>
        <family val="2"/>
      </rPr>
      <t xml:space="preserve"> = A**+E</t>
    </r>
    <r>
      <rPr>
        <b/>
        <vertAlign val="subscript"/>
        <sz val="12"/>
        <color theme="1"/>
        <rFont val="Arial"/>
        <family val="2"/>
      </rPr>
      <t>DISCOM</t>
    </r>
    <r>
      <rPr>
        <b/>
        <sz val="12"/>
        <color theme="1"/>
        <rFont val="Arial"/>
        <family val="2"/>
      </rPr>
      <t>+K</t>
    </r>
  </si>
  <si>
    <t xml:space="preserve">Section C – Renewable Electricity Consumption </t>
  </si>
  <si>
    <t>Particulars</t>
  </si>
  <si>
    <r>
      <t xml:space="preserve">RE Own Generation, Purchase and Banking </t>
    </r>
    <r>
      <rPr>
        <b/>
        <vertAlign val="superscript"/>
        <sz val="11"/>
        <color rgb="FF000000"/>
        <rFont val="Arial"/>
        <family val="2"/>
      </rPr>
      <t>ⴕ ⴕ</t>
    </r>
    <r>
      <rPr>
        <b/>
        <sz val="11"/>
        <color rgb="FF000000"/>
        <rFont val="Arial"/>
        <family val="2"/>
      </rPr>
      <t xml:space="preserve"> (Sub-Total)</t>
    </r>
  </si>
  <si>
    <r>
      <t>T=U+Er</t>
    </r>
    <r>
      <rPr>
        <b/>
        <vertAlign val="subscript"/>
        <sz val="12"/>
        <rFont val="Arial"/>
        <family val="2"/>
      </rPr>
      <t>(ex-bus)</t>
    </r>
    <r>
      <rPr>
        <b/>
        <sz val="12"/>
        <rFont val="Arial"/>
        <family val="2"/>
      </rPr>
      <t>+B'</t>
    </r>
  </si>
  <si>
    <r>
      <t xml:space="preserve">Generation (except firing of RE fuel in CPP)  and 
Purchase of All Renewable Electricity (except purchase from Discom) </t>
    </r>
    <r>
      <rPr>
        <vertAlign val="superscript"/>
        <sz val="10"/>
        <rFont val="Arial"/>
        <family val="2"/>
      </rPr>
      <t>(5)</t>
    </r>
  </si>
  <si>
    <t>U</t>
  </si>
  <si>
    <r>
      <t xml:space="preserve">Distributed Renewable Energy (DRE) </t>
    </r>
    <r>
      <rPr>
        <b/>
        <vertAlign val="superscript"/>
        <sz val="10"/>
        <rFont val="Arial"/>
        <family val="2"/>
      </rPr>
      <t>(2)</t>
    </r>
  </si>
  <si>
    <t>W=X+Y</t>
  </si>
  <si>
    <r>
      <t xml:space="preserve">DRE metered </t>
    </r>
    <r>
      <rPr>
        <vertAlign val="superscript"/>
        <sz val="10"/>
        <color rgb="FF000000"/>
        <rFont val="Arial"/>
        <family val="2"/>
      </rPr>
      <t>(4)</t>
    </r>
  </si>
  <si>
    <t>X</t>
  </si>
  <si>
    <r>
      <t xml:space="preserve">DRE unmetered </t>
    </r>
    <r>
      <rPr>
        <vertAlign val="superscript"/>
        <sz val="10"/>
        <color rgb="FF000000"/>
        <rFont val="Arial"/>
        <family val="2"/>
      </rPr>
      <t>(3)</t>
    </r>
  </si>
  <si>
    <t>Y</t>
  </si>
  <si>
    <r>
      <t xml:space="preserve">Ex-bus electrical energy generated by combustion of renewable fuels including Co-firing </t>
    </r>
    <r>
      <rPr>
        <vertAlign val="superscript"/>
        <sz val="10"/>
        <rFont val="Arial"/>
        <family val="2"/>
      </rPr>
      <t>ⴕ</t>
    </r>
  </si>
  <si>
    <r>
      <t xml:space="preserve">Purchase of Renewable Electricity from Discom </t>
    </r>
    <r>
      <rPr>
        <vertAlign val="superscript"/>
        <sz val="10"/>
        <rFont val="Arial"/>
        <family val="2"/>
      </rPr>
      <t>(6)</t>
    </r>
  </si>
  <si>
    <t>B'</t>
  </si>
  <si>
    <r>
      <t xml:space="preserve">RE Sales and Banking </t>
    </r>
    <r>
      <rPr>
        <b/>
        <vertAlign val="superscript"/>
        <sz val="11"/>
        <color rgb="FF000000"/>
        <rFont val="Arial"/>
        <family val="2"/>
      </rPr>
      <t xml:space="preserve">ⴕ ⴕ </t>
    </r>
    <r>
      <rPr>
        <b/>
        <sz val="11"/>
        <color rgb="FF000000"/>
        <rFont val="Arial"/>
        <family val="2"/>
      </rPr>
      <t>(Sub-Total)</t>
    </r>
  </si>
  <si>
    <t>I'=J'+L'</t>
  </si>
  <si>
    <r>
      <t xml:space="preserve">Sale of All Renewable Energy </t>
    </r>
    <r>
      <rPr>
        <vertAlign val="superscript"/>
        <sz val="10"/>
        <rFont val="Arial"/>
        <family val="2"/>
      </rPr>
      <t>(5)</t>
    </r>
  </si>
  <si>
    <t>J'</t>
  </si>
  <si>
    <t>L'</t>
  </si>
  <si>
    <r>
      <t xml:space="preserve">Net RE drawn from Storage (Sub-Total) </t>
    </r>
    <r>
      <rPr>
        <b/>
        <vertAlign val="superscript"/>
        <sz val="11"/>
        <color rgb="FF000000"/>
        <rFont val="Arial"/>
        <family val="2"/>
      </rPr>
      <t>!!!</t>
    </r>
  </si>
  <si>
    <r>
      <t>Q'=(R'-S')*(1-Q</t>
    </r>
    <r>
      <rPr>
        <b/>
        <vertAlign val="subscript"/>
        <sz val="10"/>
        <rFont val="Arial"/>
        <family val="2"/>
      </rPr>
      <t>L</t>
    </r>
    <r>
      <rPr>
        <b/>
        <sz val="10"/>
        <rFont val="Arial"/>
        <family val="2"/>
      </rPr>
      <t>)</t>
    </r>
  </si>
  <si>
    <t>R'</t>
  </si>
  <si>
    <t>Total RE Stored into Storage (ESS)</t>
  </si>
  <si>
    <t>S'</t>
  </si>
  <si>
    <r>
      <t>Q</t>
    </r>
    <r>
      <rPr>
        <vertAlign val="subscript"/>
        <sz val="10"/>
        <color theme="1"/>
        <rFont val="Arial"/>
        <family val="2"/>
      </rPr>
      <t>L</t>
    </r>
  </si>
  <si>
    <r>
      <t>Energy Equivalent of GH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Consumed </t>
    </r>
    <r>
      <rPr>
        <b/>
        <vertAlign val="superscript"/>
        <sz val="11"/>
        <color rgb="FF000000"/>
        <rFont val="Arial"/>
        <family val="2"/>
      </rPr>
      <t>##</t>
    </r>
  </si>
  <si>
    <t>W'</t>
  </si>
  <si>
    <r>
      <t xml:space="preserve">Energy Equivalent of Green Ammonia Consumed </t>
    </r>
    <r>
      <rPr>
        <b/>
        <vertAlign val="superscript"/>
        <sz val="11"/>
        <color rgb="FF000000"/>
        <rFont val="Arial"/>
        <family val="2"/>
      </rPr>
      <t>##</t>
    </r>
  </si>
  <si>
    <t>X'</t>
  </si>
  <si>
    <t xml:space="preserve">Gross Non-fossil based Electricity Consumption </t>
  </si>
  <si>
    <t>Y'=T-I'+W'+X'</t>
  </si>
  <si>
    <r>
      <t xml:space="preserve">Renewable Energy Certificates (RECs) </t>
    </r>
    <r>
      <rPr>
        <b/>
        <vertAlign val="superscript"/>
        <sz val="11"/>
        <color rgb="FF000000"/>
        <rFont val="Arial"/>
        <family val="2"/>
      </rPr>
      <t>ⴕⴕⴕ</t>
    </r>
  </si>
  <si>
    <t>T'=(U'+V')/1000</t>
  </si>
  <si>
    <t>Number of RECs Purchased</t>
  </si>
  <si>
    <t>U'</t>
  </si>
  <si>
    <t>No. of Certificates</t>
  </si>
  <si>
    <t>Number of RECs Self-Retained</t>
  </si>
  <si>
    <t>V'</t>
  </si>
  <si>
    <t>Section D – RCO Compliance Summary (Target Year)</t>
  </si>
  <si>
    <t>Particular</t>
  </si>
  <si>
    <t>Values</t>
  </si>
  <si>
    <t>RCO (%) notified by MoP</t>
  </si>
  <si>
    <t>Z'</t>
  </si>
  <si>
    <t>Renewable Consumption Obligation Target</t>
  </si>
  <si>
    <t>A''=K*Z'</t>
  </si>
  <si>
    <t>Compliance</t>
  </si>
  <si>
    <t>D''=Y'+T'</t>
  </si>
  <si>
    <t>Compliance (%)</t>
  </si>
  <si>
    <t>B''=D''/K</t>
  </si>
  <si>
    <r>
      <t xml:space="preserve">Surplus / Deficit </t>
    </r>
    <r>
      <rPr>
        <vertAlign val="superscript"/>
        <sz val="10"/>
        <color rgb="FF000000"/>
        <rFont val="Arial"/>
        <family val="2"/>
      </rPr>
      <t>#</t>
    </r>
  </si>
  <si>
    <t>C''=D''-A''</t>
  </si>
  <si>
    <r>
      <t xml:space="preserve">Surplus / Deficit </t>
    </r>
    <r>
      <rPr>
        <vertAlign val="superscript"/>
        <sz val="10"/>
        <color rgb="FF000000"/>
        <rFont val="Arial"/>
        <family val="2"/>
      </rPr>
      <t>#</t>
    </r>
    <r>
      <rPr>
        <sz val="10"/>
        <color rgb="FF000000"/>
        <rFont val="Arial"/>
        <family val="2"/>
      </rPr>
      <t xml:space="preserve"> (%)</t>
    </r>
  </si>
  <si>
    <t>E''=B''-Z'</t>
  </si>
  <si>
    <t>A</t>
  </si>
  <si>
    <t>Section</t>
  </si>
  <si>
    <t>D12</t>
  </si>
  <si>
    <t>A1</t>
  </si>
  <si>
    <t>A2</t>
  </si>
  <si>
    <t>A3</t>
  </si>
  <si>
    <t>Acogen</t>
  </si>
  <si>
    <t>APCtotal</t>
  </si>
  <si>
    <t>EDISCOM</t>
  </si>
  <si>
    <t>ITl</t>
  </si>
  <si>
    <t>ASo</t>
  </si>
  <si>
    <t>Xm</t>
  </si>
  <si>
    <t>Ym</t>
  </si>
  <si>
    <t>Erexbus</t>
  </si>
  <si>
    <t>B1</t>
  </si>
  <si>
    <t>J1</t>
  </si>
  <si>
    <t>L1</t>
  </si>
  <si>
    <t>R1</t>
  </si>
  <si>
    <t>S1</t>
  </si>
  <si>
    <t>QL</t>
  </si>
  <si>
    <t>W1</t>
  </si>
  <si>
    <t>X1</t>
  </si>
  <si>
    <t>U1</t>
  </si>
  <si>
    <t>V1</t>
  </si>
  <si>
    <t>D13</t>
  </si>
  <si>
    <t>D14</t>
  </si>
  <si>
    <t>D15</t>
  </si>
  <si>
    <t>D17</t>
  </si>
  <si>
    <t>D18</t>
  </si>
  <si>
    <t>D20</t>
  </si>
  <si>
    <t>D21</t>
  </si>
  <si>
    <t>D22</t>
  </si>
  <si>
    <t>D24</t>
  </si>
  <si>
    <t>D25</t>
  </si>
  <si>
    <t>D27</t>
  </si>
  <si>
    <t>D28</t>
  </si>
  <si>
    <t>D29</t>
  </si>
  <si>
    <t>D30</t>
  </si>
  <si>
    <t>sheet</t>
  </si>
  <si>
    <t>acronym</t>
  </si>
  <si>
    <t>cell</t>
  </si>
  <si>
    <t>S</t>
  </si>
  <si>
    <t>Section_C</t>
  </si>
  <si>
    <t>D4</t>
  </si>
  <si>
    <t>D6</t>
  </si>
  <si>
    <t>D7</t>
  </si>
  <si>
    <t>D8</t>
  </si>
  <si>
    <t>D9</t>
  </si>
  <si>
    <t>D16</t>
  </si>
  <si>
    <t>D19</t>
  </si>
  <si>
    <t>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</si>
</sst>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@_)"/>
    <numFmt numFmtId="165" formatCode="0.000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22"/>
      <color theme="0"/>
      <name val="Arial"/>
      <family val="2"/>
    </font>
    <font>
      <b/>
      <sz val="14"/>
      <color rgb="FF000000"/>
      <name val="Arial"/>
      <family val="2"/>
    </font>
    <font>
      <sz val="9"/>
      <color theme="1"/>
      <name val="Aptos Narrow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vertAlign val="superscript"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10"/>
      <name val="Arial"/>
      <family val="2"/>
    </font>
    <font>
      <vertAlign val="superscript"/>
      <sz val="10"/>
      <color rgb="FF000000"/>
      <name val="Arial"/>
      <family val="2"/>
    </font>
    <font>
      <b/>
      <vertAlign val="subscript"/>
      <sz val="10"/>
      <name val="Arial"/>
      <family val="2"/>
    </font>
    <font>
      <vertAlign val="subscript"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242424"/>
      <name val="Arial Unicode MS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7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vertical="center" wrapText="1"/>
    </xf>
    <xf numFmtId="164" fontId="8" fillId="6" borderId="1" xfId="3" applyFont="1" applyFill="1" applyBorder="1" applyAlignment="1">
      <alignment horizontal="center" vertical="center" wrapText="1"/>
    </xf>
    <xf numFmtId="164" fontId="9" fillId="6" borderId="2" xfId="3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/>
    </xf>
    <xf numFmtId="0" fontId="6" fillId="6" borderId="3" xfId="2" applyFont="1" applyFill="1" applyBorder="1" applyAlignment="1">
      <alignment horizontal="right" vertical="center" wrapText="1"/>
    </xf>
    <xf numFmtId="0" fontId="2" fillId="7" borderId="1" xfId="2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3" fillId="6" borderId="2" xfId="2" applyFont="1" applyFill="1" applyBorder="1" applyAlignment="1">
      <alignment horizontal="center" vertical="center"/>
    </xf>
    <xf numFmtId="165" fontId="10" fillId="8" borderId="3" xfId="0" applyNumberFormat="1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 wrapText="1"/>
    </xf>
    <xf numFmtId="0" fontId="15" fillId="6" borderId="2" xfId="0" applyFont="1" applyFill="1" applyBorder="1" applyAlignment="1">
      <alignment horizontal="center" vertical="center"/>
    </xf>
    <xf numFmtId="0" fontId="17" fillId="6" borderId="2" xfId="2" applyFont="1" applyFill="1" applyBorder="1" applyAlignment="1">
      <alignment horizontal="center" vertical="center"/>
    </xf>
    <xf numFmtId="165" fontId="15" fillId="0" borderId="3" xfId="0" applyNumberFormat="1" applyFont="1" applyBorder="1" applyAlignment="1" applyProtection="1">
      <alignment vertical="center"/>
      <protection locked="0"/>
    </xf>
    <xf numFmtId="165" fontId="21" fillId="8" borderId="3" xfId="0" applyNumberFormat="1" applyFont="1" applyFill="1" applyBorder="1" applyAlignment="1">
      <alignment vertical="center"/>
    </xf>
    <xf numFmtId="0" fontId="2" fillId="7" borderId="1" xfId="2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2" fillId="6" borderId="1" xfId="2" applyFont="1" applyFill="1" applyBorder="1" applyAlignme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 wrapText="1"/>
    </xf>
    <xf numFmtId="165" fontId="22" fillId="8" borderId="3" xfId="0" applyNumberFormat="1" applyFont="1" applyFill="1" applyBorder="1" applyAlignment="1">
      <alignment vertical="center"/>
    </xf>
    <xf numFmtId="0" fontId="15" fillId="6" borderId="2" xfId="0" applyFont="1" applyFill="1" applyBorder="1" applyAlignment="1">
      <alignment horizontal="center" vertical="center" wrapText="1"/>
    </xf>
    <xf numFmtId="9" fontId="15" fillId="0" borderId="3" xfId="1" applyFont="1" applyBorder="1" applyAlignment="1" applyProtection="1">
      <alignment vertical="center"/>
      <protection locked="0"/>
    </xf>
    <xf numFmtId="0" fontId="10" fillId="2" borderId="2" xfId="0" applyFont="1" applyFill="1" applyBorder="1" applyAlignment="1">
      <alignment horizontal="center" vertical="center" wrapText="1"/>
    </xf>
    <xf numFmtId="164" fontId="9" fillId="10" borderId="1" xfId="3" applyFont="1" applyFill="1" applyBorder="1" applyAlignment="1">
      <alignment horizontal="center" vertical="center" wrapText="1"/>
    </xf>
    <xf numFmtId="164" fontId="9" fillId="10" borderId="2" xfId="3" applyFont="1" applyFill="1" applyBorder="1" applyAlignment="1">
      <alignment horizontal="center" vertical="center" wrapText="1"/>
    </xf>
    <xf numFmtId="0" fontId="6" fillId="10" borderId="2" xfId="2" applyFont="1" applyFill="1" applyBorder="1" applyAlignment="1">
      <alignment horizontal="center" vertical="center"/>
    </xf>
    <xf numFmtId="0" fontId="6" fillId="10" borderId="3" xfId="2" applyFont="1" applyFill="1" applyBorder="1" applyAlignment="1">
      <alignment horizontal="right" vertical="center"/>
    </xf>
    <xf numFmtId="0" fontId="26" fillId="11" borderId="1" xfId="2" applyFont="1" applyFill="1" applyBorder="1" applyAlignment="1">
      <alignment vertical="center"/>
    </xf>
    <xf numFmtId="0" fontId="28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5" fontId="2" fillId="8" borderId="3" xfId="2" applyNumberFormat="1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right" vertical="center" wrapText="1"/>
    </xf>
    <xf numFmtId="0" fontId="30" fillId="6" borderId="2" xfId="0" applyFont="1" applyFill="1" applyBorder="1" applyAlignment="1">
      <alignment horizontal="center" vertical="center" wrapText="1"/>
    </xf>
    <xf numFmtId="0" fontId="2" fillId="6" borderId="2" xfId="2" applyFont="1" applyFill="1" applyBorder="1" applyAlignment="1">
      <alignment horizontal="center" vertical="center"/>
    </xf>
    <xf numFmtId="165" fontId="15" fillId="8" borderId="3" xfId="0" applyNumberFormat="1" applyFont="1" applyFill="1" applyBorder="1" applyAlignment="1">
      <alignment vertical="center"/>
    </xf>
    <xf numFmtId="0" fontId="17" fillId="6" borderId="1" xfId="2" applyFont="1" applyFill="1" applyBorder="1" applyAlignment="1">
      <alignment horizontal="right" vertical="center" wrapText="1"/>
    </xf>
    <xf numFmtId="165" fontId="17" fillId="0" borderId="3" xfId="2" applyNumberFormat="1" applyFont="1" applyBorder="1" applyAlignment="1" applyProtection="1">
      <alignment vertical="center"/>
      <protection locked="0"/>
    </xf>
    <xf numFmtId="165" fontId="15" fillId="12" borderId="3" xfId="0" applyNumberFormat="1" applyFont="1" applyFill="1" applyBorder="1" applyAlignment="1" applyProtection="1">
      <alignment vertical="center"/>
      <protection locked="0"/>
    </xf>
    <xf numFmtId="165" fontId="22" fillId="0" borderId="3" xfId="0" applyNumberFormat="1" applyFont="1" applyBorder="1" applyAlignment="1" applyProtection="1">
      <alignment vertical="center"/>
      <protection locked="0"/>
    </xf>
    <xf numFmtId="0" fontId="2" fillId="9" borderId="1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horizontal="center" vertical="center"/>
    </xf>
    <xf numFmtId="0" fontId="6" fillId="6" borderId="3" xfId="2" applyFont="1" applyFill="1" applyBorder="1" applyAlignment="1">
      <alignment horizontal="right" vertical="center"/>
    </xf>
    <xf numFmtId="0" fontId="17" fillId="6" borderId="1" xfId="2" applyFont="1" applyFill="1" applyBorder="1" applyAlignment="1">
      <alignment horizontal="left" vertical="center" wrapText="1"/>
    </xf>
    <xf numFmtId="10" fontId="35" fillId="8" borderId="3" xfId="0" applyNumberFormat="1" applyFont="1" applyFill="1" applyBorder="1" applyAlignment="1">
      <alignment horizontal="right" vertical="center"/>
    </xf>
    <xf numFmtId="49" fontId="17" fillId="6" borderId="2" xfId="2" applyNumberFormat="1" applyFont="1" applyFill="1" applyBorder="1" applyAlignment="1">
      <alignment horizontal="center" vertical="center"/>
    </xf>
    <xf numFmtId="165" fontId="17" fillId="8" borderId="3" xfId="2" applyNumberFormat="1" applyFont="1" applyFill="1" applyBorder="1" applyAlignment="1">
      <alignment horizontal="right" vertical="center"/>
    </xf>
    <xf numFmtId="0" fontId="15" fillId="13" borderId="1" xfId="0" applyFont="1" applyFill="1" applyBorder="1" applyAlignment="1">
      <alignment vertical="center" wrapText="1"/>
    </xf>
    <xf numFmtId="10" fontId="15" fillId="8" borderId="3" xfId="1" applyNumberFormat="1" applyFont="1" applyFill="1" applyBorder="1" applyAlignment="1" applyProtection="1">
      <alignment horizontal="right" vertical="center"/>
    </xf>
    <xf numFmtId="0" fontId="17" fillId="13" borderId="1" xfId="2" applyFont="1" applyFill="1" applyBorder="1" applyAlignment="1">
      <alignment horizontal="left" vertical="center"/>
    </xf>
    <xf numFmtId="165" fontId="15" fillId="8" borderId="10" xfId="1" applyNumberFormat="1" applyFont="1" applyFill="1" applyBorder="1" applyAlignment="1" applyProtection="1">
      <alignment horizontal="right" vertical="center"/>
    </xf>
    <xf numFmtId="0" fontId="17" fillId="13" borderId="11" xfId="2" applyFont="1" applyFill="1" applyBorder="1" applyAlignment="1">
      <alignment horizontal="left" vertical="center"/>
    </xf>
    <xf numFmtId="0" fontId="17" fillId="6" borderId="12" xfId="2" applyFont="1" applyFill="1" applyBorder="1" applyAlignment="1">
      <alignment horizontal="center" vertical="center"/>
    </xf>
    <xf numFmtId="10" fontId="17" fillId="8" borderId="13" xfId="1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center"/>
    </xf>
    <xf numFmtId="0" fontId="5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left" vertical="center"/>
    </xf>
    <xf numFmtId="0" fontId="6" fillId="4" borderId="2" xfId="2" applyFont="1" applyFill="1" applyBorder="1" applyAlignment="1">
      <alignment horizontal="left" vertical="center"/>
    </xf>
    <xf numFmtId="0" fontId="6" fillId="4" borderId="3" xfId="2" applyFont="1" applyFill="1" applyBorder="1" applyAlignment="1">
      <alignment horizontal="left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6" fillId="5" borderId="1" xfId="2" applyFont="1" applyFill="1" applyBorder="1" applyAlignment="1">
      <alignment horizontal="left" vertical="center"/>
    </xf>
    <xf numFmtId="0" fontId="6" fillId="5" borderId="2" xfId="2" applyFont="1" applyFill="1" applyBorder="1" applyAlignment="1">
      <alignment horizontal="left" vertical="center"/>
    </xf>
    <xf numFmtId="0" fontId="6" fillId="5" borderId="3" xfId="2" applyFont="1" applyFill="1" applyBorder="1" applyAlignment="1">
      <alignment horizontal="left" vertical="center"/>
    </xf>
    <xf numFmtId="0" fontId="6" fillId="9" borderId="1" xfId="2" applyFont="1" applyFill="1" applyBorder="1" applyAlignment="1">
      <alignment horizontal="left" vertical="center"/>
    </xf>
    <xf numFmtId="0" fontId="6" fillId="9" borderId="2" xfId="2" applyFont="1" applyFill="1" applyBorder="1" applyAlignment="1">
      <alignment horizontal="left" vertical="center"/>
    </xf>
    <xf numFmtId="0" fontId="6" fillId="9" borderId="3" xfId="2" applyFont="1" applyFill="1" applyBorder="1" applyAlignment="1">
      <alignment horizontal="left" vertical="center"/>
    </xf>
  </cellXfs>
  <cellStyles count="4">
    <cellStyle name="Normal" xfId="0" builtinId="0"/>
    <cellStyle name="Normal 2" xfId="2" xr:uid="{6C8C7F41-6EC0-4064-92EE-00D8488D3E7A}"/>
    <cellStyle name="Normal 2 3" xfId="3" xr:uid="{EEBA7DFF-2A22-464E-A363-D3995CABB3C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souvmaji_deloitte_com/Documents/Documents/Project%20Related/BEE/Revised%20Forms/RCO%20data%20Reporting%20Format%20for%20DCs%20who%20are%20OA%20consumers%20or%20captive%20users%2030Sep2025.xlsx" TargetMode="External"/><Relationship Id="rId1" Type="http://schemas.openxmlformats.org/officeDocument/2006/relationships/externalLinkPath" Target="https://indeloitte-my.sharepoint.com/personal/souvmaji_deloitte_com/Documents/Documents/Project%20Related/BEE/Revised%20Forms/RCO%20data%20Reporting%20Format%20for%20DCs%20who%20are%20OA%20consumers%20or%20captive%20users%2030Sep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D_CPP_OA"/>
      <sheetName val="FormA_CPP_OA"/>
      <sheetName val="Instructions &amp; Notes"/>
      <sheetName val="FormB_CPP_OA"/>
      <sheetName val="FormA_CPP_OA_Q2"/>
      <sheetName val="Supporting Sheet"/>
      <sheetName val="Annexure-1"/>
      <sheetName val="DC Sectors with Thresholds"/>
      <sheetName val="StateUTs"/>
      <sheetName val="Targ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State category</v>
          </cell>
          <cell r="G2" t="str">
            <v>Other renewable energy</v>
          </cell>
        </row>
        <row r="3">
          <cell r="B3" t="str">
            <v>Normal</v>
          </cell>
          <cell r="G3">
            <v>0.27350000000000002</v>
          </cell>
        </row>
        <row r="4">
          <cell r="B4" t="str">
            <v>Normal</v>
          </cell>
          <cell r="G4">
            <v>0.28239999999999998</v>
          </cell>
        </row>
        <row r="5">
          <cell r="B5" t="str">
            <v>Normal</v>
          </cell>
          <cell r="G5">
            <v>0.2994</v>
          </cell>
        </row>
        <row r="6">
          <cell r="B6" t="str">
            <v>Normal</v>
          </cell>
          <cell r="G6">
            <v>0.31640000000000001</v>
          </cell>
        </row>
        <row r="7">
          <cell r="B7" t="str">
            <v>Normal</v>
          </cell>
          <cell r="G7">
            <v>0.33100000000000002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9532-BD11-402D-A049-110733FA3312}">
  <dimension ref="A1:D32"/>
  <sheetViews>
    <sheetView tabSelected="1" zoomScale="91" zoomScaleNormal="91" workbookViewId="0">
      <selection activeCell="B17" sqref="B17"/>
    </sheetView>
  </sheetViews>
  <sheetFormatPr defaultRowHeight="14.4"/>
  <cols>
    <col min="1" max="1" width="74.44140625" bestFit="1" customWidth="1"/>
    <col min="2" max="2" width="28.33203125" customWidth="1"/>
    <col min="3" max="3" width="8.33203125" bestFit="1" customWidth="1"/>
    <col min="4" max="4" width="29.6640625" customWidth="1"/>
  </cols>
  <sheetData>
    <row r="1" spans="1:4" ht="28.2">
      <c r="A1" s="57" t="s">
        <v>1</v>
      </c>
      <c r="B1" s="58"/>
      <c r="C1" s="58"/>
      <c r="D1" s="59"/>
    </row>
    <row r="2" spans="1:4" ht="17.399999999999999">
      <c r="A2" s="60" t="s">
        <v>2</v>
      </c>
      <c r="B2" s="61"/>
      <c r="C2" s="61"/>
      <c r="D2" s="62"/>
    </row>
    <row r="3" spans="1:4" ht="15.6">
      <c r="A3" s="1" t="s">
        <v>0</v>
      </c>
      <c r="B3" s="63"/>
      <c r="C3" s="63"/>
      <c r="D3" s="64"/>
    </row>
    <row r="4" spans="1:4" ht="15.6">
      <c r="A4" s="1" t="s">
        <v>3</v>
      </c>
      <c r="B4" s="65"/>
      <c r="C4" s="66"/>
      <c r="D4" s="67"/>
    </row>
    <row r="5" spans="1:4" ht="15.6">
      <c r="A5" s="1" t="s">
        <v>4</v>
      </c>
      <c r="B5" s="63"/>
      <c r="C5" s="63"/>
      <c r="D5" s="64"/>
    </row>
    <row r="6" spans="1:4" ht="15.6">
      <c r="A6" s="1" t="s">
        <v>5</v>
      </c>
      <c r="B6" s="63"/>
      <c r="C6" s="63"/>
      <c r="D6" s="64"/>
    </row>
    <row r="7" spans="1:4" ht="15.6">
      <c r="A7" s="1" t="s">
        <v>6</v>
      </c>
      <c r="B7" s="63"/>
      <c r="C7" s="63"/>
      <c r="D7" s="64"/>
    </row>
    <row r="8" spans="1:4" ht="15.6">
      <c r="A8" s="1" t="s">
        <v>7</v>
      </c>
      <c r="B8" s="65"/>
      <c r="C8" s="66"/>
      <c r="D8" s="67"/>
    </row>
    <row r="9" spans="1:4" ht="17.399999999999999">
      <c r="A9" s="68" t="s">
        <v>8</v>
      </c>
      <c r="B9" s="69"/>
      <c r="C9" s="69"/>
      <c r="D9" s="70"/>
    </row>
    <row r="10" spans="1:4" ht="17.399999999999999">
      <c r="A10" s="2" t="s">
        <v>9</v>
      </c>
      <c r="B10" s="3" t="s">
        <v>10</v>
      </c>
      <c r="C10" s="4" t="s">
        <v>11</v>
      </c>
      <c r="D10" s="5" t="s">
        <v>12</v>
      </c>
    </row>
    <row r="11" spans="1:4" ht="37.200000000000003">
      <c r="A11" s="6" t="s">
        <v>13</v>
      </c>
      <c r="B11" s="7" t="s">
        <v>14</v>
      </c>
      <c r="C11" s="8" t="s">
        <v>15</v>
      </c>
      <c r="D11" s="9">
        <f>D16-D17/2-D18</f>
        <v>0</v>
      </c>
    </row>
    <row r="12" spans="1:4" ht="15.6">
      <c r="A12" s="10" t="s">
        <v>16</v>
      </c>
      <c r="B12" s="11" t="s">
        <v>17</v>
      </c>
      <c r="C12" s="12" t="s">
        <v>15</v>
      </c>
      <c r="D12" s="13">
        <v>0</v>
      </c>
    </row>
    <row r="13" spans="1:4">
      <c r="A13" s="10" t="s">
        <v>18</v>
      </c>
      <c r="B13" s="11" t="s">
        <v>19</v>
      </c>
      <c r="C13" s="12" t="s">
        <v>15</v>
      </c>
      <c r="D13" s="13">
        <v>0</v>
      </c>
    </row>
    <row r="14" spans="1:4" ht="15.6">
      <c r="A14" s="10" t="s">
        <v>20</v>
      </c>
      <c r="B14" s="11" t="s">
        <v>21</v>
      </c>
      <c r="C14" s="12" t="s">
        <v>15</v>
      </c>
      <c r="D14" s="13">
        <v>0</v>
      </c>
    </row>
    <row r="15" spans="1:4" ht="28.8">
      <c r="A15" s="10" t="s">
        <v>22</v>
      </c>
      <c r="B15" s="11" t="s">
        <v>23</v>
      </c>
      <c r="C15" s="12" t="s">
        <v>15</v>
      </c>
      <c r="D15" s="13">
        <v>0</v>
      </c>
    </row>
    <row r="16" spans="1:4" ht="15.6">
      <c r="A16" s="10" t="s">
        <v>24</v>
      </c>
      <c r="B16" s="11" t="s">
        <v>25</v>
      </c>
      <c r="C16" s="12" t="s">
        <v>15</v>
      </c>
      <c r="D16" s="14">
        <f>D12-D13-D14+D15</f>
        <v>0</v>
      </c>
    </row>
    <row r="17" spans="1:4" ht="28.8">
      <c r="A17" s="10" t="s">
        <v>26</v>
      </c>
      <c r="B17" s="11" t="s">
        <v>27</v>
      </c>
      <c r="C17" s="12" t="s">
        <v>15</v>
      </c>
      <c r="D17" s="13">
        <v>0</v>
      </c>
    </row>
    <row r="18" spans="1:4" ht="15.6">
      <c r="A18" s="10" t="s">
        <v>28</v>
      </c>
      <c r="B18" s="11" t="s">
        <v>29</v>
      </c>
      <c r="C18" s="12" t="s">
        <v>15</v>
      </c>
      <c r="D18" s="13">
        <v>0</v>
      </c>
    </row>
    <row r="19" spans="1:4" ht="15.6">
      <c r="A19" s="15" t="s">
        <v>30</v>
      </c>
      <c r="B19" s="16" t="s">
        <v>31</v>
      </c>
      <c r="C19" s="8" t="s">
        <v>15</v>
      </c>
      <c r="D19" s="9">
        <f>D20+D21</f>
        <v>0</v>
      </c>
    </row>
    <row r="20" spans="1:4">
      <c r="A20" s="10" t="s">
        <v>32</v>
      </c>
      <c r="B20" s="11" t="s">
        <v>33</v>
      </c>
      <c r="C20" s="12" t="s">
        <v>15</v>
      </c>
      <c r="D20" s="13"/>
    </row>
    <row r="21" spans="1:4" ht="15.6">
      <c r="A21" s="10" t="s">
        <v>34</v>
      </c>
      <c r="B21" s="11" t="s">
        <v>35</v>
      </c>
      <c r="C21" s="12" t="s">
        <v>15</v>
      </c>
      <c r="D21" s="13"/>
    </row>
    <row r="22" spans="1:4" ht="15.6">
      <c r="A22" s="17" t="s">
        <v>36</v>
      </c>
      <c r="B22" s="18" t="s">
        <v>37</v>
      </c>
      <c r="C22" s="8" t="s">
        <v>15</v>
      </c>
      <c r="D22" s="13"/>
    </row>
    <row r="23" spans="1:4" ht="15.6">
      <c r="A23" s="15" t="s">
        <v>38</v>
      </c>
      <c r="B23" s="16" t="s">
        <v>39</v>
      </c>
      <c r="C23" s="8" t="s">
        <v>15</v>
      </c>
      <c r="D23" s="9">
        <f>D24+D25</f>
        <v>0</v>
      </c>
    </row>
    <row r="24" spans="1:4">
      <c r="A24" s="10" t="s">
        <v>40</v>
      </c>
      <c r="B24" s="11" t="s">
        <v>41</v>
      </c>
      <c r="C24" s="12" t="s">
        <v>15</v>
      </c>
      <c r="D24" s="13"/>
    </row>
    <row r="25" spans="1:4" ht="15.6">
      <c r="A25" s="10" t="s">
        <v>42</v>
      </c>
      <c r="B25" s="11" t="s">
        <v>43</v>
      </c>
      <c r="C25" s="12" t="s">
        <v>15</v>
      </c>
      <c r="D25" s="13"/>
    </row>
    <row r="26" spans="1:4" ht="18">
      <c r="A26" s="15" t="s">
        <v>44</v>
      </c>
      <c r="B26" s="19" t="s">
        <v>45</v>
      </c>
      <c r="C26" s="8" t="s">
        <v>15</v>
      </c>
      <c r="D26" s="20">
        <f>(D27-D28)*(1-D29)</f>
        <v>0</v>
      </c>
    </row>
    <row r="27" spans="1:4">
      <c r="A27" s="10" t="s">
        <v>46</v>
      </c>
      <c r="B27" s="21" t="s">
        <v>47</v>
      </c>
      <c r="C27" s="12" t="s">
        <v>15</v>
      </c>
      <c r="D27" s="13"/>
    </row>
    <row r="28" spans="1:4">
      <c r="A28" s="10" t="s">
        <v>48</v>
      </c>
      <c r="B28" s="21" t="s">
        <v>49</v>
      </c>
      <c r="C28" s="12" t="s">
        <v>15</v>
      </c>
      <c r="D28" s="13"/>
    </row>
    <row r="29" spans="1:4" ht="15.6">
      <c r="A29" s="10" t="s">
        <v>50</v>
      </c>
      <c r="B29" s="21" t="s">
        <v>51</v>
      </c>
      <c r="C29" s="12" t="s">
        <v>52</v>
      </c>
      <c r="D29" s="22"/>
    </row>
    <row r="30" spans="1:4" ht="15.6">
      <c r="A30" s="15" t="s">
        <v>53</v>
      </c>
      <c r="B30" s="18"/>
      <c r="C30" s="8" t="s">
        <v>15</v>
      </c>
      <c r="D30" s="13"/>
    </row>
    <row r="31" spans="1:4" ht="31.2">
      <c r="A31" s="6" t="s">
        <v>54</v>
      </c>
      <c r="B31" s="23" t="s">
        <v>55</v>
      </c>
      <c r="C31" s="16" t="s">
        <v>15</v>
      </c>
      <c r="D31" s="9">
        <f>D11+D19-D23+Section_C!D20-D30/2</f>
        <v>0</v>
      </c>
    </row>
    <row r="32" spans="1:4" ht="18">
      <c r="A32" s="6" t="s">
        <v>56</v>
      </c>
      <c r="B32" s="23" t="s">
        <v>57</v>
      </c>
      <c r="C32" s="16" t="s">
        <v>15</v>
      </c>
      <c r="D32" s="9">
        <f>D13+D22+D31</f>
        <v>0</v>
      </c>
    </row>
  </sheetData>
  <mergeCells count="9">
    <mergeCell ref="B6:D6"/>
    <mergeCell ref="B7:D7"/>
    <mergeCell ref="B8:D8"/>
    <mergeCell ref="A9:D9"/>
    <mergeCell ref="A1:D1"/>
    <mergeCell ref="A2:D2"/>
    <mergeCell ref="B3:D3"/>
    <mergeCell ref="B4:D4"/>
    <mergeCell ref="B5:D5"/>
  </mergeCells>
  <dataValidations count="3">
    <dataValidation type="list" allowBlank="1" showInputMessage="1" showErrorMessage="1" sqref="B6:D6" xr:uid="{85208292-5929-4653-81EF-2CCF1E2CCE38}">
      <formula1>"Captive power Plant (CPP), Open Accesss (OA), Captive Power Plant (CPP) and Open Access (OA)"</formula1>
    </dataValidation>
    <dataValidation type="decimal" allowBlank="1" showInputMessage="1" showErrorMessage="1" promptTitle="Input" prompt="Please enter a positive numeric value. Can include decimals. Final value will be shown as percentage (%)." sqref="D29:D30" xr:uid="{A943A2DA-5395-4CDD-A329-15A372426872}">
      <formula1>0</formula1>
      <formula2>9.99999999999999E+27</formula2>
    </dataValidation>
    <dataValidation type="decimal" allowBlank="1" showInputMessage="1" showErrorMessage="1" promptTitle="Input" prompt="Please enter a positive numeric value. Can include decimals." sqref="D27:D28 D24:D25 D30 D20:D22 D12:D15 D17:D18" xr:uid="{86D1E124-28D8-4CA0-BC30-BEBF62B92AA8}">
      <formula1>0</formula1>
      <formula2>9.99999999999999E+27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9620-24AE-438F-8D3F-28D5F8E84BE6}">
  <dimension ref="A1:D23"/>
  <sheetViews>
    <sheetView topLeftCell="A2" workbookViewId="0">
      <selection activeCell="D4" sqref="D4"/>
    </sheetView>
  </sheetViews>
  <sheetFormatPr defaultRowHeight="14.4"/>
  <cols>
    <col min="1" max="1" width="57.6640625" bestFit="1" customWidth="1"/>
    <col min="2" max="2" width="23.109375" customWidth="1"/>
    <col min="3" max="3" width="8.33203125" bestFit="1" customWidth="1"/>
    <col min="4" max="4" width="16.88671875" bestFit="1" customWidth="1"/>
  </cols>
  <sheetData>
    <row r="1" spans="1:4" ht="17.399999999999999">
      <c r="A1" s="71" t="s">
        <v>58</v>
      </c>
      <c r="B1" s="72"/>
      <c r="C1" s="72"/>
      <c r="D1" s="73"/>
    </row>
    <row r="2" spans="1:4" ht="17.399999999999999">
      <c r="A2" s="24" t="s">
        <v>59</v>
      </c>
      <c r="B2" s="25" t="s">
        <v>10</v>
      </c>
      <c r="C2" s="26" t="s">
        <v>11</v>
      </c>
      <c r="D2" s="27" t="s">
        <v>12</v>
      </c>
    </row>
    <row r="3" spans="1:4" ht="18">
      <c r="A3" s="28" t="s">
        <v>60</v>
      </c>
      <c r="B3" s="29" t="s">
        <v>61</v>
      </c>
      <c r="C3" s="30" t="s">
        <v>15</v>
      </c>
      <c r="D3" s="31">
        <f>D4+D8+D9+D10</f>
        <v>0</v>
      </c>
    </row>
    <row r="4" spans="1:4" ht="42">
      <c r="A4" s="10" t="s">
        <v>62</v>
      </c>
      <c r="B4" s="32" t="s">
        <v>63</v>
      </c>
      <c r="C4" s="33" t="s">
        <v>15</v>
      </c>
      <c r="D4" s="13"/>
    </row>
    <row r="5" spans="1:4" ht="15.6">
      <c r="A5" s="34" t="s">
        <v>64</v>
      </c>
      <c r="B5" s="35" t="s">
        <v>65</v>
      </c>
      <c r="C5" s="36" t="s">
        <v>15</v>
      </c>
      <c r="D5" s="37"/>
    </row>
    <row r="6" spans="1:4" ht="15.6">
      <c r="A6" s="38" t="s">
        <v>66</v>
      </c>
      <c r="B6" s="32" t="s">
        <v>67</v>
      </c>
      <c r="C6" s="33" t="s">
        <v>15</v>
      </c>
      <c r="D6" s="13"/>
    </row>
    <row r="7" spans="1:4" ht="15.6">
      <c r="A7" s="38" t="s">
        <v>68</v>
      </c>
      <c r="B7" s="32" t="s">
        <v>69</v>
      </c>
      <c r="C7" s="33" t="s">
        <v>15</v>
      </c>
      <c r="D7" s="13"/>
    </row>
    <row r="8" spans="1:4" ht="28.8">
      <c r="A8" s="10" t="s">
        <v>70</v>
      </c>
      <c r="B8" s="32" t="s">
        <v>153</v>
      </c>
      <c r="C8" s="33" t="s">
        <v>15</v>
      </c>
      <c r="D8" s="13"/>
    </row>
    <row r="9" spans="1:4" ht="15.6">
      <c r="A9" s="10" t="s">
        <v>71</v>
      </c>
      <c r="B9" s="32"/>
      <c r="C9" s="33" t="s">
        <v>15</v>
      </c>
      <c r="D9" s="13"/>
    </row>
    <row r="10" spans="1:4" ht="15.6">
      <c r="A10" s="10" t="s">
        <v>34</v>
      </c>
      <c r="B10" s="32" t="s">
        <v>72</v>
      </c>
      <c r="C10" s="33" t="s">
        <v>15</v>
      </c>
      <c r="D10" s="13"/>
    </row>
    <row r="11" spans="1:4" ht="16.2">
      <c r="A11" s="28" t="s">
        <v>73</v>
      </c>
      <c r="B11" s="29" t="s">
        <v>74</v>
      </c>
      <c r="C11" s="30" t="s">
        <v>15</v>
      </c>
      <c r="D11" s="9">
        <f>D12+D13</f>
        <v>0</v>
      </c>
    </row>
    <row r="12" spans="1:4" ht="15.6">
      <c r="A12" s="10" t="s">
        <v>75</v>
      </c>
      <c r="B12" s="32" t="s">
        <v>76</v>
      </c>
      <c r="C12" s="33" t="s">
        <v>15</v>
      </c>
      <c r="D12" s="39"/>
    </row>
    <row r="13" spans="1:4" ht="15.6">
      <c r="A13" s="10" t="s">
        <v>42</v>
      </c>
      <c r="B13" s="32" t="s">
        <v>77</v>
      </c>
      <c r="C13" s="33" t="s">
        <v>15</v>
      </c>
      <c r="D13" s="13"/>
    </row>
    <row r="14" spans="1:4" ht="16.2">
      <c r="A14" s="28" t="s">
        <v>78</v>
      </c>
      <c r="B14" s="35" t="s">
        <v>79</v>
      </c>
      <c r="C14" s="33" t="s">
        <v>15</v>
      </c>
      <c r="D14" s="20"/>
    </row>
    <row r="15" spans="1:4">
      <c r="A15" s="10" t="s">
        <v>46</v>
      </c>
      <c r="B15" s="32" t="s">
        <v>80</v>
      </c>
      <c r="C15" s="33" t="s">
        <v>15</v>
      </c>
      <c r="D15" s="40"/>
    </row>
    <row r="16" spans="1:4">
      <c r="A16" s="10" t="s">
        <v>81</v>
      </c>
      <c r="B16" s="32" t="s">
        <v>82</v>
      </c>
      <c r="C16" s="33" t="s">
        <v>15</v>
      </c>
      <c r="D16" s="40"/>
    </row>
    <row r="17" spans="1:4" ht="15.6">
      <c r="A17" s="10" t="s">
        <v>50</v>
      </c>
      <c r="B17" s="21" t="s">
        <v>83</v>
      </c>
      <c r="C17" s="12" t="s">
        <v>52</v>
      </c>
      <c r="D17" s="22"/>
    </row>
    <row r="18" spans="1:4" ht="16.2">
      <c r="A18" s="28" t="s">
        <v>84</v>
      </c>
      <c r="B18" s="32" t="s">
        <v>85</v>
      </c>
      <c r="C18" s="33" t="s">
        <v>15</v>
      </c>
      <c r="D18" s="41"/>
    </row>
    <row r="19" spans="1:4" ht="16.2">
      <c r="A19" s="28" t="s">
        <v>86</v>
      </c>
      <c r="B19" s="32" t="s">
        <v>87</v>
      </c>
      <c r="C19" s="33" t="s">
        <v>15</v>
      </c>
      <c r="D19" s="41"/>
    </row>
    <row r="20" spans="1:4" ht="15.6">
      <c r="A20" s="42" t="s">
        <v>88</v>
      </c>
      <c r="B20" s="29" t="s">
        <v>89</v>
      </c>
      <c r="C20" s="30" t="s">
        <v>15</v>
      </c>
      <c r="D20" s="9">
        <f>D3-D11+D18+D19</f>
        <v>0</v>
      </c>
    </row>
    <row r="21" spans="1:4" ht="16.8">
      <c r="A21" s="42" t="s">
        <v>90</v>
      </c>
      <c r="B21" s="29" t="s">
        <v>91</v>
      </c>
      <c r="C21" s="30" t="s">
        <v>15</v>
      </c>
      <c r="D21" s="9">
        <f>(D22+D23)/1000</f>
        <v>0</v>
      </c>
    </row>
    <row r="22" spans="1:4" ht="39.6">
      <c r="A22" s="10" t="s">
        <v>92</v>
      </c>
      <c r="B22" s="32" t="s">
        <v>93</v>
      </c>
      <c r="C22" s="33" t="s">
        <v>94</v>
      </c>
      <c r="D22" s="13"/>
    </row>
    <row r="23" spans="1:4" ht="39.6">
      <c r="A23" s="10" t="s">
        <v>95</v>
      </c>
      <c r="B23" s="32" t="s">
        <v>96</v>
      </c>
      <c r="C23" s="33" t="s">
        <v>94</v>
      </c>
      <c r="D23" s="13"/>
    </row>
  </sheetData>
  <mergeCells count="1">
    <mergeCell ref="A1:D1"/>
  </mergeCells>
  <dataValidations count="2">
    <dataValidation type="decimal" allowBlank="1" showInputMessage="1" showErrorMessage="1" promptTitle="Input" prompt="Please enter a positive numeric value. Can include decimals." sqref="D18:D19 D4 D12:D13 D22:D23 D15:D16 D6:D10" xr:uid="{86D1E124-28D8-4CA0-BC30-BEBF62B92AA8}">
      <formula1>0</formula1>
      <formula2>9.99999999999999E+27</formula2>
    </dataValidation>
    <dataValidation type="decimal" allowBlank="1" showInputMessage="1" showErrorMessage="1" promptTitle="Input" prompt="Please enter a positive numeric value. Can include decimals. Final value will be shown as percentage (%)." sqref="D17" xr:uid="{A943A2DA-5395-4CDD-A329-15A372426872}">
      <formula1>0</formula1>
      <formula2>9.99999999999999E+27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04CF-0AA1-468A-8B83-DE1730497F92}">
  <dimension ref="A1:D8"/>
  <sheetViews>
    <sheetView workbookViewId="0">
      <selection activeCell="D11" sqref="D11"/>
    </sheetView>
  </sheetViews>
  <sheetFormatPr defaultRowHeight="14.4"/>
  <cols>
    <col min="1" max="4" width="24" customWidth="1"/>
  </cols>
  <sheetData>
    <row r="1" spans="1:4" ht="17.399999999999999">
      <c r="A1" s="60" t="s">
        <v>97</v>
      </c>
      <c r="B1" s="61"/>
      <c r="C1" s="61"/>
      <c r="D1" s="62"/>
    </row>
    <row r="2" spans="1:4" ht="17.399999999999999">
      <c r="A2" s="43" t="s">
        <v>98</v>
      </c>
      <c r="B2" s="3" t="s">
        <v>10</v>
      </c>
      <c r="C2" s="4" t="s">
        <v>11</v>
      </c>
      <c r="D2" s="44" t="s">
        <v>99</v>
      </c>
    </row>
    <row r="3" spans="1:4">
      <c r="A3" s="45" t="s">
        <v>100</v>
      </c>
      <c r="B3" s="12" t="s">
        <v>101</v>
      </c>
      <c r="C3" s="12" t="s">
        <v>52</v>
      </c>
      <c r="D3" s="46">
        <f>IF(ISBLANK(Section!B7), 0,INDEX([1]Targets!G2:G7,MATCH(Section!B7,[1]Targets!B2:B7,0)))</f>
        <v>0</v>
      </c>
    </row>
    <row r="4" spans="1:4" ht="26.4">
      <c r="A4" s="45" t="s">
        <v>102</v>
      </c>
      <c r="B4" s="47" t="s">
        <v>103</v>
      </c>
      <c r="C4" s="12" t="s">
        <v>15</v>
      </c>
      <c r="D4" s="48">
        <f>Section!D31*D3</f>
        <v>0</v>
      </c>
    </row>
    <row r="5" spans="1:4">
      <c r="A5" s="49" t="s">
        <v>104</v>
      </c>
      <c r="B5" s="47" t="s">
        <v>105</v>
      </c>
      <c r="C5" s="12" t="s">
        <v>15</v>
      </c>
      <c r="D5" s="48">
        <f>Section_C!D20+Section_C!D21</f>
        <v>0</v>
      </c>
    </row>
    <row r="6" spans="1:4">
      <c r="A6" s="49" t="s">
        <v>106</v>
      </c>
      <c r="B6" s="11" t="s">
        <v>107</v>
      </c>
      <c r="C6" s="12" t="s">
        <v>52</v>
      </c>
      <c r="D6" s="50">
        <f>IF(Section!D31=0,0,D5/Section!D31)</f>
        <v>0</v>
      </c>
    </row>
    <row r="7" spans="1:4" ht="15.6">
      <c r="A7" s="51" t="s">
        <v>108</v>
      </c>
      <c r="B7" s="12" t="s">
        <v>109</v>
      </c>
      <c r="C7" s="12" t="s">
        <v>15</v>
      </c>
      <c r="D7" s="52">
        <f>D5-D4</f>
        <v>0</v>
      </c>
    </row>
    <row r="8" spans="1:4" ht="16.2" thickBot="1">
      <c r="A8" s="53" t="s">
        <v>110</v>
      </c>
      <c r="B8" s="54" t="s">
        <v>111</v>
      </c>
      <c r="C8" s="54" t="s">
        <v>52</v>
      </c>
      <c r="D8" s="55">
        <f>D6-D3</f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6E3E-8DA7-4B05-90E6-0925F820B9AA}">
  <dimension ref="A1:C30"/>
  <sheetViews>
    <sheetView workbookViewId="0">
      <selection activeCell="D30" sqref="D30"/>
    </sheetView>
  </sheetViews>
  <sheetFormatPr defaultRowHeight="14.4"/>
  <cols>
    <col min="1" max="1" width="13.109375" customWidth="1"/>
  </cols>
  <sheetData>
    <row r="1" spans="1:3" ht="15.6">
      <c r="A1" s="56" t="s">
        <v>151</v>
      </c>
      <c r="B1" s="56" t="s">
        <v>150</v>
      </c>
      <c r="C1" s="56" t="s">
        <v>152</v>
      </c>
    </row>
    <row r="2" spans="1:3">
      <c r="A2" t="s">
        <v>112</v>
      </c>
      <c r="B2" t="s">
        <v>113</v>
      </c>
      <c r="C2" t="s">
        <v>114</v>
      </c>
    </row>
    <row r="3" spans="1:3">
      <c r="A3" t="s">
        <v>115</v>
      </c>
      <c r="B3" t="s">
        <v>113</v>
      </c>
      <c r="C3" t="s">
        <v>136</v>
      </c>
    </row>
    <row r="4" spans="1:3">
      <c r="A4" t="s">
        <v>116</v>
      </c>
      <c r="B4" t="s">
        <v>113</v>
      </c>
      <c r="C4" t="s">
        <v>137</v>
      </c>
    </row>
    <row r="5" spans="1:3">
      <c r="A5" t="s">
        <v>117</v>
      </c>
      <c r="B5" t="s">
        <v>113</v>
      </c>
      <c r="C5" t="s">
        <v>138</v>
      </c>
    </row>
    <row r="6" spans="1:3">
      <c r="A6" t="s">
        <v>118</v>
      </c>
      <c r="B6" t="s">
        <v>113</v>
      </c>
      <c r="C6" t="s">
        <v>139</v>
      </c>
    </row>
    <row r="7" spans="1:3">
      <c r="A7" t="s">
        <v>119</v>
      </c>
      <c r="B7" t="s">
        <v>113</v>
      </c>
      <c r="C7" t="s">
        <v>140</v>
      </c>
    </row>
    <row r="8" spans="1:3">
      <c r="A8" t="s">
        <v>33</v>
      </c>
      <c r="B8" t="s">
        <v>113</v>
      </c>
      <c r="C8" t="s">
        <v>141</v>
      </c>
    </row>
    <row r="9" spans="1:3">
      <c r="A9" t="s">
        <v>35</v>
      </c>
      <c r="B9" t="s">
        <v>113</v>
      </c>
      <c r="C9" t="s">
        <v>142</v>
      </c>
    </row>
    <row r="10" spans="1:3">
      <c r="A10" t="s">
        <v>120</v>
      </c>
      <c r="B10" t="s">
        <v>113</v>
      </c>
      <c r="C10" t="s">
        <v>143</v>
      </c>
    </row>
    <row r="11" spans="1:3">
      <c r="A11" t="s">
        <v>41</v>
      </c>
      <c r="B11" t="s">
        <v>113</v>
      </c>
      <c r="C11" t="s">
        <v>144</v>
      </c>
    </row>
    <row r="12" spans="1:3">
      <c r="A12" t="s">
        <v>43</v>
      </c>
      <c r="B12" t="s">
        <v>113</v>
      </c>
      <c r="C12" t="s">
        <v>145</v>
      </c>
    </row>
    <row r="13" spans="1:3">
      <c r="A13" t="s">
        <v>47</v>
      </c>
      <c r="B13" t="s">
        <v>113</v>
      </c>
      <c r="C13" t="s">
        <v>146</v>
      </c>
    </row>
    <row r="14" spans="1:3">
      <c r="A14" t="s">
        <v>49</v>
      </c>
      <c r="B14" t="s">
        <v>113</v>
      </c>
      <c r="C14" t="s">
        <v>147</v>
      </c>
    </row>
    <row r="15" spans="1:3">
      <c r="A15" t="s">
        <v>121</v>
      </c>
      <c r="B15" t="s">
        <v>113</v>
      </c>
      <c r="C15" t="s">
        <v>148</v>
      </c>
    </row>
    <row r="16" spans="1:3">
      <c r="A16" t="s">
        <v>122</v>
      </c>
      <c r="B16" t="s">
        <v>113</v>
      </c>
      <c r="C16" t="s">
        <v>149</v>
      </c>
    </row>
    <row r="17" spans="1:3">
      <c r="A17" t="s">
        <v>63</v>
      </c>
      <c r="B17" t="s">
        <v>154</v>
      </c>
      <c r="C17" t="s">
        <v>155</v>
      </c>
    </row>
    <row r="18" spans="1:3">
      <c r="A18" t="s">
        <v>123</v>
      </c>
      <c r="B18" t="s">
        <v>154</v>
      </c>
      <c r="C18" t="s">
        <v>156</v>
      </c>
    </row>
    <row r="19" spans="1:3">
      <c r="A19" t="s">
        <v>124</v>
      </c>
      <c r="B19" t="s">
        <v>154</v>
      </c>
      <c r="C19" t="s">
        <v>157</v>
      </c>
    </row>
    <row r="20" spans="1:3">
      <c r="A20" t="s">
        <v>125</v>
      </c>
      <c r="B20" t="s">
        <v>154</v>
      </c>
      <c r="C20" t="s">
        <v>158</v>
      </c>
    </row>
    <row r="21" spans="1:3">
      <c r="A21" t="s">
        <v>126</v>
      </c>
      <c r="B21" t="s">
        <v>154</v>
      </c>
      <c r="C21" t="s">
        <v>159</v>
      </c>
    </row>
    <row r="22" spans="1:3">
      <c r="A22" t="s">
        <v>127</v>
      </c>
      <c r="B22" t="s">
        <v>154</v>
      </c>
      <c r="C22" t="s">
        <v>114</v>
      </c>
    </row>
    <row r="23" spans="1:3">
      <c r="A23" t="s">
        <v>128</v>
      </c>
      <c r="B23" t="s">
        <v>154</v>
      </c>
      <c r="C23" t="s">
        <v>136</v>
      </c>
    </row>
    <row r="24" spans="1:3">
      <c r="A24" t="s">
        <v>129</v>
      </c>
      <c r="B24" t="s">
        <v>154</v>
      </c>
      <c r="C24" t="s">
        <v>138</v>
      </c>
    </row>
    <row r="25" spans="1:3">
      <c r="A25" t="s">
        <v>130</v>
      </c>
      <c r="B25" t="s">
        <v>154</v>
      </c>
      <c r="C25" t="s">
        <v>160</v>
      </c>
    </row>
    <row r="26" spans="1:3">
      <c r="A26" t="s">
        <v>131</v>
      </c>
      <c r="B26" t="s">
        <v>154</v>
      </c>
      <c r="C26" t="s">
        <v>139</v>
      </c>
    </row>
    <row r="27" spans="1:3">
      <c r="A27" t="s">
        <v>132</v>
      </c>
      <c r="B27" t="s">
        <v>154</v>
      </c>
      <c r="C27" t="s">
        <v>140</v>
      </c>
    </row>
    <row r="28" spans="1:3">
      <c r="A28" t="s">
        <v>133</v>
      </c>
      <c r="B28" t="s">
        <v>154</v>
      </c>
      <c r="C28" t="s">
        <v>161</v>
      </c>
    </row>
    <row r="29" spans="1:3">
      <c r="A29" t="s">
        <v>134</v>
      </c>
      <c r="B29" t="s">
        <v>154</v>
      </c>
      <c r="C29" t="s">
        <v>143</v>
      </c>
    </row>
    <row r="30" spans="1:3">
      <c r="A30" t="s">
        <v>135</v>
      </c>
      <c r="B30" t="s">
        <v>154</v>
      </c>
      <c r="C30" t="s">
        <v>162</v>
      </c>
    </row>
  </sheetData>
  <phoneticPr fontId="3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</vt:lpstr>
      <vt:lpstr>Section_C</vt:lpstr>
      <vt:lpstr>Section_D</vt:lpstr>
      <vt:lpstr>_META_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Maji, Souvik</dc:creator>
  <cp:lastModifiedBy>Maji, Souvik</cp:lastModifiedBy>
  <dcterms:created xsi:type="dcterms:W3CDTF">2026-01-19T12:01:25Z</dcterms:created>
  <dcterms:modified xsi:type="dcterms:W3CDTF">2026-01-19T14:24:14Z</dcterms:modified>
</cp:coreProperties>
</file>