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uvmaji\Downloads\Projects\BEE\bee_backend\src\templates\"/>
    </mc:Choice>
  </mc:AlternateContent>
  <xr:revisionPtr revIDLastSave="0" documentId="13_ncr:1_{D30176F0-4314-4538-A7CC-756D0C3C43B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ectionA" sheetId="1" r:id="rId1"/>
    <sheet name="SectionB" sheetId="2" r:id="rId2"/>
    <sheet name="SectionC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F5" i="3"/>
  <c r="G5" i="3"/>
  <c r="H5" i="3"/>
  <c r="E6" i="3"/>
  <c r="F6" i="3"/>
  <c r="G6" i="3"/>
  <c r="D5" i="3"/>
  <c r="E4" i="3"/>
  <c r="F4" i="3"/>
  <c r="G4" i="3"/>
  <c r="H4" i="3"/>
  <c r="D4" i="3"/>
  <c r="D7" i="3"/>
  <c r="H3" i="2"/>
  <c r="G3" i="2"/>
  <c r="F3" i="2"/>
  <c r="E3" i="2"/>
  <c r="D3" i="2"/>
  <c r="D17" i="1"/>
  <c r="H4" i="2"/>
  <c r="H5" i="2"/>
  <c r="F6" i="2"/>
  <c r="H6" i="2"/>
  <c r="H11" i="3"/>
  <c r="D6" i="3"/>
  <c r="D8" i="3"/>
  <c r="H12" i="3"/>
  <c r="F11" i="3"/>
  <c r="F12" i="3"/>
  <c r="H7" i="3"/>
  <c r="H9" i="3"/>
  <c r="H10" i="3"/>
  <c r="F7" i="3"/>
  <c r="F9" i="3"/>
  <c r="F10" i="3"/>
  <c r="H6" i="3"/>
  <c r="H8" i="3"/>
  <c r="G8" i="3"/>
  <c r="F8" i="3"/>
  <c r="E8" i="3"/>
  <c r="G7" i="3"/>
  <c r="E7" i="3"/>
  <c r="H18" i="2"/>
  <c r="H9" i="2"/>
  <c r="H10" i="2"/>
  <c r="H12" i="2"/>
  <c r="H13" i="2"/>
  <c r="H14" i="2"/>
  <c r="H15" i="2"/>
  <c r="H16" i="2"/>
  <c r="H11" i="2"/>
  <c r="H17" i="2"/>
  <c r="G11" i="2"/>
  <c r="G17" i="2"/>
  <c r="F11" i="2"/>
  <c r="F17" i="2"/>
  <c r="E11" i="2"/>
  <c r="E17" i="2"/>
  <c r="D11" i="2"/>
  <c r="D17" i="2"/>
  <c r="D10" i="1"/>
  <c r="D14" i="1"/>
  <c r="D19" i="1"/>
</calcChain>
</file>

<file path=xl/sharedStrings.xml><?xml version="1.0" encoding="utf-8"?>
<sst xmlns="http://schemas.openxmlformats.org/spreadsheetml/2006/main" count="143" uniqueCount="96">
  <si>
    <t>RCO Compliance Data reporting by Distribution Licensee (Form A)</t>
  </si>
  <si>
    <t>Name of Obligated Designated Consumer</t>
  </si>
  <si>
    <t>Registration No. of Obligated Designated Consumer</t>
  </si>
  <si>
    <t>Target Year FY (__-__)</t>
  </si>
  <si>
    <t>Compliance Period (Quarterly / Annual)</t>
  </si>
  <si>
    <t>Location - State</t>
  </si>
  <si>
    <t>State Category</t>
  </si>
  <si>
    <t>Part A – Gross Total Electricity Consumption (Fossil based + Non-fossil based)</t>
  </si>
  <si>
    <t xml:space="preserve">Particulars </t>
  </si>
  <si>
    <t>Nomenclature</t>
  </si>
  <si>
    <t>Unit</t>
  </si>
  <si>
    <t>Total Electrical Energy</t>
  </si>
  <si>
    <t>Purchase and Banking of Fossil based Power (Sub-Total) ***</t>
  </si>
  <si>
    <t>CT=C+E+D</t>
  </si>
  <si>
    <t>MU</t>
  </si>
  <si>
    <t>Fossil based Power 
(Purchase through PPA/Bilateral and through Power Exchange)</t>
  </si>
  <si>
    <t>C</t>
  </si>
  <si>
    <r>
      <t xml:space="preserve">Banking (Receipt) of Electricity </t>
    </r>
    <r>
      <rPr>
        <vertAlign val="superscript"/>
        <sz val="10"/>
        <rFont val="Arial"/>
        <family val="2"/>
      </rPr>
      <t>(8)</t>
    </r>
  </si>
  <si>
    <t>D</t>
  </si>
  <si>
    <t xml:space="preserve">Purchase of Nuclear Power
(Not included in RCO Calculations) </t>
  </si>
  <si>
    <t>E</t>
  </si>
  <si>
    <t>Electricity Sales (Sub-Total) ***</t>
  </si>
  <si>
    <t>FT=F+H+I'</t>
  </si>
  <si>
    <t>Fossil based energy - Sales to entities other than DISCOM consumers 
(Sales through PPA/Bilateral and through Power Exchange)</t>
  </si>
  <si>
    <t>F</t>
  </si>
  <si>
    <r>
      <t xml:space="preserve">Banking (Supply) of Electricity </t>
    </r>
    <r>
      <rPr>
        <vertAlign val="superscript"/>
        <sz val="10"/>
        <rFont val="Arial"/>
        <family val="2"/>
      </rPr>
      <t>(8)</t>
    </r>
  </si>
  <si>
    <t>I'</t>
  </si>
  <si>
    <t xml:space="preserve">Total Electricity Consumption on which Renewable Consumption Obligations is applicable </t>
  </si>
  <si>
    <t>K=CT-FT+T+Y'</t>
  </si>
  <si>
    <r>
      <t xml:space="preserve">Distribution Losses as % share of Gross Total Electricity Consumption within Discom Periphery </t>
    </r>
    <r>
      <rPr>
        <b/>
        <vertAlign val="superscript"/>
        <sz val="12"/>
        <color rgb="FF000000"/>
        <rFont val="Arial"/>
        <family val="2"/>
      </rPr>
      <t>$$</t>
    </r>
  </si>
  <si>
    <t>DL</t>
  </si>
  <si>
    <t>%</t>
  </si>
  <si>
    <t>Gross Total Energy Consumption</t>
  </si>
  <si>
    <r>
      <t>E</t>
    </r>
    <r>
      <rPr>
        <b/>
        <vertAlign val="subscript"/>
        <sz val="12"/>
        <color theme="1"/>
        <rFont val="Arial"/>
        <family val="2"/>
      </rPr>
      <t>total</t>
    </r>
    <r>
      <rPr>
        <b/>
        <sz val="12"/>
        <color theme="1"/>
        <rFont val="Arial"/>
        <family val="2"/>
      </rPr>
      <t xml:space="preserve"> = A**+E</t>
    </r>
    <r>
      <rPr>
        <b/>
        <vertAlign val="subscript"/>
        <sz val="12"/>
        <color theme="1"/>
        <rFont val="Arial"/>
        <family val="2"/>
      </rPr>
      <t>DISCOM</t>
    </r>
    <r>
      <rPr>
        <b/>
        <sz val="12"/>
        <color theme="1"/>
        <rFont val="Arial"/>
        <family val="2"/>
      </rPr>
      <t>+K</t>
    </r>
  </si>
  <si>
    <t xml:space="preserve">Part B – Gross Non-fossil based Electricity Consumption </t>
  </si>
  <si>
    <t>Particulars</t>
  </si>
  <si>
    <r>
      <t xml:space="preserve">Wind RE </t>
    </r>
    <r>
      <rPr>
        <b/>
        <vertAlign val="superscript"/>
        <sz val="14"/>
        <color rgb="FF000000"/>
        <rFont val="Arial"/>
        <family val="2"/>
      </rPr>
      <t>(1)</t>
    </r>
  </si>
  <si>
    <r>
      <t xml:space="preserve">Hydro RE </t>
    </r>
    <r>
      <rPr>
        <b/>
        <vertAlign val="superscript"/>
        <sz val="14"/>
        <color rgb="FF000000"/>
        <rFont val="Arial"/>
        <family val="2"/>
      </rPr>
      <t>(2)</t>
    </r>
    <r>
      <rPr>
        <b/>
        <sz val="14"/>
        <color rgb="FF000000"/>
        <rFont val="Arial"/>
        <family val="2"/>
      </rPr>
      <t xml:space="preserve"> </t>
    </r>
  </si>
  <si>
    <r>
      <t xml:space="preserve">Distributed RE </t>
    </r>
    <r>
      <rPr>
        <b/>
        <vertAlign val="superscript"/>
        <sz val="14"/>
        <color rgb="FF000000"/>
        <rFont val="Arial"/>
        <family val="2"/>
      </rPr>
      <t>(3)</t>
    </r>
    <r>
      <rPr>
        <b/>
        <sz val="14"/>
        <color rgb="FF000000"/>
        <rFont val="Arial"/>
        <family val="2"/>
      </rPr>
      <t xml:space="preserve"> </t>
    </r>
    <r>
      <rPr>
        <b/>
        <vertAlign val="superscript"/>
        <sz val="14"/>
        <color rgb="FF000000"/>
        <rFont val="Arial"/>
        <family val="2"/>
      </rPr>
      <t>(4)</t>
    </r>
  </si>
  <si>
    <r>
      <t xml:space="preserve">Other RE </t>
    </r>
    <r>
      <rPr>
        <b/>
        <vertAlign val="superscript"/>
        <sz val="14"/>
        <color rgb="FF000000"/>
        <rFont val="Arial"/>
        <family val="2"/>
      </rPr>
      <t>(5)</t>
    </r>
  </si>
  <si>
    <t>Total</t>
  </si>
  <si>
    <r>
      <t xml:space="preserve">Own Generation, Purchase *** and Banking of RE </t>
    </r>
    <r>
      <rPr>
        <b/>
        <vertAlign val="superscript"/>
        <sz val="11"/>
        <color rgb="FF000000"/>
        <rFont val="Arial"/>
        <family val="2"/>
      </rPr>
      <t>ⴕ ⴕ</t>
    </r>
    <r>
      <rPr>
        <b/>
        <sz val="11"/>
        <color rgb="FF000000"/>
        <rFont val="Arial"/>
        <family val="2"/>
      </rPr>
      <t xml:space="preserve"> (Sub-Total)</t>
    </r>
  </si>
  <si>
    <t>T=U+V+W+Z+B'</t>
  </si>
  <si>
    <t>Wind Renewable Energy (Electricity Generation and Purchase)</t>
  </si>
  <si>
    <t>U</t>
  </si>
  <si>
    <t>Hydro Renewable Energy (Electricity Generation and Purchase)</t>
  </si>
  <si>
    <t>V</t>
  </si>
  <si>
    <t xml:space="preserve">Distributed Renewable Energy (DRE) </t>
  </si>
  <si>
    <t>W=X+Y</t>
  </si>
  <si>
    <r>
      <t xml:space="preserve">(Electricity Generation and Purchase)                                    DRE metered </t>
    </r>
    <r>
      <rPr>
        <vertAlign val="superscript"/>
        <sz val="10"/>
        <color rgb="FF000000"/>
        <rFont val="Arial"/>
        <family val="2"/>
      </rPr>
      <t>(6) (7)</t>
    </r>
  </si>
  <si>
    <t>X</t>
  </si>
  <si>
    <r>
      <t xml:space="preserve">(Electricity Generation)                                                              RE unmetered </t>
    </r>
    <r>
      <rPr>
        <vertAlign val="superscript"/>
        <sz val="10"/>
        <color rgb="FF000000"/>
        <rFont val="Arial"/>
        <family val="2"/>
      </rPr>
      <t>##</t>
    </r>
  </si>
  <si>
    <t>Y</t>
  </si>
  <si>
    <t>Other renewable energy (Electricity Generation and Purchase)</t>
  </si>
  <si>
    <t>Z</t>
  </si>
  <si>
    <t>B'</t>
  </si>
  <si>
    <r>
      <t>RE Sales *** (to entities other than DISCOM consumers) and Banking</t>
    </r>
    <r>
      <rPr>
        <b/>
        <vertAlign val="superscript"/>
        <sz val="11"/>
        <color rgb="FF000000"/>
        <rFont val="Arial"/>
        <family val="2"/>
      </rPr>
      <t>ⴕ ⴕ ⴕ</t>
    </r>
    <r>
      <rPr>
        <b/>
        <sz val="11"/>
        <color rgb="FF000000"/>
        <rFont val="Arial"/>
        <family val="2"/>
      </rPr>
      <t xml:space="preserve"> (Sub-Total)</t>
    </r>
  </si>
  <si>
    <t>I'=J'+K'+L'+O'+P'</t>
  </si>
  <si>
    <t>Wind Renewable Energy (Electricity Sales)</t>
  </si>
  <si>
    <t>J'</t>
  </si>
  <si>
    <t>Hydro Renewable Energy (Electricity Sales)</t>
  </si>
  <si>
    <t>K'</t>
  </si>
  <si>
    <r>
      <t xml:space="preserve">Distributed Renewable Energy (DRE) </t>
    </r>
    <r>
      <rPr>
        <sz val="10"/>
        <rFont val="Arial"/>
        <family val="2"/>
      </rPr>
      <t>(Electricity Sales)</t>
    </r>
    <r>
      <rPr>
        <b/>
        <sz val="10"/>
        <rFont val="Arial"/>
        <family val="2"/>
      </rPr>
      <t xml:space="preserve">         </t>
    </r>
    <r>
      <rPr>
        <sz val="10"/>
        <rFont val="Arial"/>
        <family val="2"/>
      </rPr>
      <t>DRE metered</t>
    </r>
  </si>
  <si>
    <t>L'</t>
  </si>
  <si>
    <t>Other Renewable Energy (Electricity Sales)</t>
  </si>
  <si>
    <t>O'</t>
  </si>
  <si>
    <t>P'</t>
  </si>
  <si>
    <t>Non-fossil Electrical Energy Consumption for calculation of Renewable Consumption Obligations</t>
  </si>
  <si>
    <t>Y'=T-I'</t>
  </si>
  <si>
    <r>
      <t xml:space="preserve">Renewable Energy Certificates (RECs) </t>
    </r>
    <r>
      <rPr>
        <b/>
        <vertAlign val="superscript"/>
        <sz val="11"/>
        <color rgb="FF000000"/>
        <rFont val="Arial"/>
        <family val="2"/>
      </rPr>
      <t>!!</t>
    </r>
  </si>
  <si>
    <t>T'=(U'+V')/1000</t>
  </si>
  <si>
    <t>Number of RECs Purchased</t>
  </si>
  <si>
    <t>U'</t>
  </si>
  <si>
    <t>No. of Certs.</t>
  </si>
  <si>
    <t>Number of RECs Self-Retained</t>
  </si>
  <si>
    <t>V'</t>
  </si>
  <si>
    <t>Part C – RCO Compliance during Target Year</t>
  </si>
  <si>
    <t>Particular</t>
  </si>
  <si>
    <r>
      <t xml:space="preserve">RCO (%) specified by MoP </t>
    </r>
    <r>
      <rPr>
        <vertAlign val="superscript"/>
        <sz val="10"/>
        <color rgb="FF000000"/>
        <rFont val="Arial"/>
        <family val="2"/>
      </rPr>
      <t>###</t>
    </r>
  </si>
  <si>
    <t>Z'</t>
  </si>
  <si>
    <t>MoP Renewable Consumption Obligation Target</t>
  </si>
  <si>
    <t>A''=K*Z'</t>
  </si>
  <si>
    <t>Compliance without REC</t>
  </si>
  <si>
    <t>Y'</t>
  </si>
  <si>
    <t xml:space="preserve">Compliance (%) without REC </t>
  </si>
  <si>
    <t>B''=Y'/K</t>
  </si>
  <si>
    <r>
      <t xml:space="preserve">Surplus / Deficit </t>
    </r>
    <r>
      <rPr>
        <vertAlign val="superscript"/>
        <sz val="10"/>
        <color rgb="FF000000"/>
        <rFont val="Arial"/>
        <family val="2"/>
      </rPr>
      <t>#</t>
    </r>
    <r>
      <rPr>
        <sz val="10"/>
        <color rgb="FF000000"/>
        <rFont val="Arial"/>
        <family val="2"/>
      </rPr>
      <t xml:space="preserve"> without REC</t>
    </r>
  </si>
  <si>
    <t>C''=Y'-A''</t>
  </si>
  <si>
    <r>
      <t xml:space="preserve">Surplus / Deficit </t>
    </r>
    <r>
      <rPr>
        <vertAlign val="superscript"/>
        <sz val="10"/>
        <color rgb="FF000000"/>
        <rFont val="Arial"/>
        <family val="2"/>
      </rPr>
      <t>#</t>
    </r>
    <r>
      <rPr>
        <sz val="10"/>
        <color rgb="FF000000"/>
        <rFont val="Arial"/>
        <family val="2"/>
      </rPr>
      <t xml:space="preserve"> without REC (%)</t>
    </r>
  </si>
  <si>
    <t xml:space="preserve">D''=B''-Z' </t>
  </si>
  <si>
    <r>
      <t xml:space="preserve">Surplus / Deficit </t>
    </r>
    <r>
      <rPr>
        <vertAlign val="superscript"/>
        <sz val="10"/>
        <color rgb="FF000000"/>
        <rFont val="Arial"/>
        <family val="2"/>
      </rPr>
      <t>#</t>
    </r>
    <r>
      <rPr>
        <sz val="10"/>
        <color rgb="FF000000"/>
        <rFont val="Arial"/>
        <family val="2"/>
      </rPr>
      <t xml:space="preserve"> </t>
    </r>
  </si>
  <si>
    <t>E''</t>
  </si>
  <si>
    <t>Compliance</t>
  </si>
  <si>
    <t xml:space="preserve">Compliance (%) </t>
  </si>
  <si>
    <t>F''=(A''+E'')/K</t>
  </si>
  <si>
    <t>G''=F''-Z'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</si>
</sst>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@_)"/>
    <numFmt numFmtId="165" formatCode="0.000"/>
    <numFmt numFmtId="166" formatCode="0.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22"/>
      <color theme="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b/>
      <vertAlign val="superscript"/>
      <sz val="12"/>
      <color rgb="FF000000"/>
      <name val="Arial"/>
      <family val="2"/>
    </font>
    <font>
      <b/>
      <vertAlign val="subscript"/>
      <sz val="12"/>
      <color theme="1"/>
      <name val="Arial"/>
      <family val="2"/>
    </font>
    <font>
      <b/>
      <vertAlign val="superscript"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10"/>
      <color rgb="FF00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7" fillId="0" borderId="0"/>
  </cellStyleXfs>
  <cellXfs count="94">
    <xf numFmtId="0" fontId="0" fillId="0" borderId="0" xfId="0"/>
    <xf numFmtId="0" fontId="6" fillId="3" borderId="5" xfId="2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5" xfId="2" applyFont="1" applyFill="1" applyBorder="1" applyAlignment="1">
      <alignment horizontal="center" vertical="center"/>
    </xf>
    <xf numFmtId="165" fontId="10" fillId="5" borderId="5" xfId="0" applyNumberFormat="1" applyFont="1" applyFill="1" applyBorder="1" applyAlignment="1">
      <alignment vertical="center"/>
    </xf>
    <xf numFmtId="165" fontId="10" fillId="5" borderId="8" xfId="0" applyNumberFormat="1" applyFont="1" applyFill="1" applyBorder="1" applyAlignment="1">
      <alignment vertical="center"/>
    </xf>
    <xf numFmtId="165" fontId="13" fillId="0" borderId="5" xfId="0" applyNumberFormat="1" applyFont="1" applyBorder="1" applyAlignment="1" applyProtection="1">
      <alignment vertical="center"/>
      <protection locked="0"/>
    </xf>
    <xf numFmtId="165" fontId="13" fillId="0" borderId="8" xfId="0" applyNumberFormat="1" applyFont="1" applyBorder="1" applyAlignment="1" applyProtection="1">
      <alignment vertical="center"/>
      <protection locked="0"/>
    </xf>
    <xf numFmtId="164" fontId="9" fillId="3" borderId="5" xfId="3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6" fillId="3" borderId="5" xfId="2" applyFont="1" applyFill="1" applyBorder="1" applyAlignment="1">
      <alignment vertical="center"/>
    </xf>
    <xf numFmtId="0" fontId="12" fillId="3" borderId="4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6" fillId="6" borderId="5" xfId="2" applyFont="1" applyFill="1" applyBorder="1" applyAlignment="1">
      <alignment horizontal="center" vertical="center"/>
    </xf>
    <xf numFmtId="164" fontId="8" fillId="3" borderId="5" xfId="3" applyFont="1" applyFill="1" applyBorder="1" applyAlignment="1">
      <alignment horizontal="center" vertical="center" wrapText="1"/>
    </xf>
    <xf numFmtId="0" fontId="5" fillId="7" borderId="5" xfId="2" applyFont="1" applyFill="1" applyBorder="1" applyAlignment="1">
      <alignment vertical="center" wrapText="1"/>
    </xf>
    <xf numFmtId="0" fontId="12" fillId="3" borderId="5" xfId="0" applyFont="1" applyFill="1" applyBorder="1" applyAlignment="1">
      <alignment horizontal="right" vertical="center" wrapText="1"/>
    </xf>
    <xf numFmtId="166" fontId="13" fillId="0" borderId="5" xfId="1" applyNumberFormat="1" applyFont="1" applyBorder="1" applyAlignment="1" applyProtection="1">
      <alignment vertical="center"/>
      <protection locked="0"/>
    </xf>
    <xf numFmtId="0" fontId="6" fillId="10" borderId="5" xfId="2" applyFont="1" applyFill="1" applyBorder="1" applyAlignment="1">
      <alignment horizontal="center" vertical="center"/>
    </xf>
    <xf numFmtId="0" fontId="6" fillId="10" borderId="5" xfId="2" applyFont="1" applyFill="1" applyBorder="1" applyAlignment="1">
      <alignment horizontal="left" vertical="center"/>
    </xf>
    <xf numFmtId="0" fontId="6" fillId="10" borderId="5" xfId="2" applyFont="1" applyFill="1" applyBorder="1" applyAlignment="1">
      <alignment vertical="center"/>
    </xf>
    <xf numFmtId="0" fontId="6" fillId="10" borderId="8" xfId="2" applyFont="1" applyFill="1" applyBorder="1" applyAlignment="1">
      <alignment horizontal="center" vertical="center"/>
    </xf>
    <xf numFmtId="0" fontId="19" fillId="8" borderId="4" xfId="2" applyFont="1" applyFill="1" applyBorder="1" applyAlignment="1">
      <alignment vertical="center"/>
    </xf>
    <xf numFmtId="165" fontId="5" fillId="5" borderId="5" xfId="2" applyNumberFormat="1" applyFont="1" applyFill="1" applyBorder="1" applyAlignment="1">
      <alignment vertical="center"/>
    </xf>
    <xf numFmtId="165" fontId="5" fillId="5" borderId="8" xfId="2" applyNumberFormat="1" applyFont="1" applyFill="1" applyBorder="1" applyAlignment="1">
      <alignment vertical="center"/>
    </xf>
    <xf numFmtId="165" fontId="13" fillId="3" borderId="5" xfId="0" applyNumberFormat="1" applyFont="1" applyFill="1" applyBorder="1" applyAlignment="1">
      <alignment vertical="center"/>
    </xf>
    <xf numFmtId="165" fontId="13" fillId="5" borderId="8" xfId="0" applyNumberFormat="1" applyFont="1" applyFill="1" applyBorder="1" applyAlignment="1">
      <alignment vertical="center"/>
    </xf>
    <xf numFmtId="165" fontId="13" fillId="5" borderId="5" xfId="0" applyNumberFormat="1" applyFont="1" applyFill="1" applyBorder="1" applyAlignment="1">
      <alignment vertical="center"/>
    </xf>
    <xf numFmtId="165" fontId="13" fillId="3" borderId="8" xfId="0" applyNumberFormat="1" applyFont="1" applyFill="1" applyBorder="1" applyAlignment="1">
      <alignment vertical="center"/>
    </xf>
    <xf numFmtId="0" fontId="5" fillId="3" borderId="5" xfId="2" applyFont="1" applyFill="1" applyBorder="1" applyAlignment="1">
      <alignment horizontal="center" vertical="center"/>
    </xf>
    <xf numFmtId="165" fontId="11" fillId="5" borderId="8" xfId="2" applyNumberFormat="1" applyFont="1" applyFill="1" applyBorder="1" applyAlignment="1">
      <alignment vertical="center"/>
    </xf>
    <xf numFmtId="165" fontId="24" fillId="5" borderId="8" xfId="0" applyNumberFormat="1" applyFont="1" applyFill="1" applyBorder="1" applyAlignment="1">
      <alignment vertical="center"/>
    </xf>
    <xf numFmtId="164" fontId="9" fillId="10" borderId="4" xfId="3" applyFont="1" applyFill="1" applyBorder="1" applyAlignment="1">
      <alignment horizontal="center" vertical="center"/>
    </xf>
    <xf numFmtId="164" fontId="9" fillId="10" borderId="5" xfId="3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5" fontId="14" fillId="0" borderId="5" xfId="0" applyNumberFormat="1" applyFont="1" applyBorder="1" applyAlignment="1" applyProtection="1">
      <alignment vertical="center"/>
      <protection locked="0"/>
    </xf>
    <xf numFmtId="165" fontId="14" fillId="3" borderId="5" xfId="0" applyNumberFormat="1" applyFont="1" applyFill="1" applyBorder="1" applyAlignment="1">
      <alignment vertical="center"/>
    </xf>
    <xf numFmtId="0" fontId="22" fillId="3" borderId="4" xfId="0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right" vertical="center"/>
    </xf>
    <xf numFmtId="0" fontId="5" fillId="9" borderId="4" xfId="2" applyFont="1" applyFill="1" applyBorder="1" applyAlignment="1">
      <alignment vertical="center"/>
    </xf>
    <xf numFmtId="0" fontId="6" fillId="9" borderId="9" xfId="2" applyFont="1" applyFill="1" applyBorder="1" applyAlignment="1">
      <alignment horizontal="center" vertical="center"/>
    </xf>
    <xf numFmtId="0" fontId="6" fillId="9" borderId="6" xfId="2" applyFont="1" applyFill="1" applyBorder="1" applyAlignment="1">
      <alignment horizontal="center" vertical="center"/>
    </xf>
    <xf numFmtId="0" fontId="6" fillId="9" borderId="7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left" vertical="center"/>
    </xf>
    <xf numFmtId="0" fontId="6" fillId="3" borderId="8" xfId="2" applyFont="1" applyFill="1" applyBorder="1" applyAlignment="1">
      <alignment horizontal="center" vertical="center"/>
    </xf>
    <xf numFmtId="49" fontId="14" fillId="3" borderId="5" xfId="2" applyNumberFormat="1" applyFont="1" applyFill="1" applyBorder="1" applyAlignment="1">
      <alignment horizontal="center" vertical="center"/>
    </xf>
    <xf numFmtId="10" fontId="2" fillId="5" borderId="5" xfId="0" applyNumberFormat="1" applyFont="1" applyFill="1" applyBorder="1" applyAlignment="1">
      <alignment horizontal="right" vertical="center"/>
    </xf>
    <xf numFmtId="10" fontId="2" fillId="5" borderId="8" xfId="0" applyNumberFormat="1" applyFont="1" applyFill="1" applyBorder="1" applyAlignment="1">
      <alignment horizontal="right" vertical="center"/>
    </xf>
    <xf numFmtId="165" fontId="11" fillId="5" borderId="5" xfId="2" applyNumberFormat="1" applyFont="1" applyFill="1" applyBorder="1" applyAlignment="1">
      <alignment horizontal="right" vertical="center"/>
    </xf>
    <xf numFmtId="165" fontId="14" fillId="5" borderId="5" xfId="2" applyNumberFormat="1" applyFont="1" applyFill="1" applyBorder="1" applyAlignment="1">
      <alignment horizontal="right" vertical="center"/>
    </xf>
    <xf numFmtId="165" fontId="14" fillId="5" borderId="8" xfId="2" applyNumberFormat="1" applyFont="1" applyFill="1" applyBorder="1" applyAlignment="1">
      <alignment horizontal="right" vertical="center"/>
    </xf>
    <xf numFmtId="10" fontId="13" fillId="5" borderId="5" xfId="1" applyNumberFormat="1" applyFont="1" applyFill="1" applyBorder="1" applyAlignment="1" applyProtection="1">
      <alignment horizontal="right" vertical="center"/>
    </xf>
    <xf numFmtId="10" fontId="13" fillId="5" borderId="8" xfId="1" applyNumberFormat="1" applyFont="1" applyFill="1" applyBorder="1" applyAlignment="1" applyProtection="1">
      <alignment horizontal="righ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left" vertical="center"/>
    </xf>
    <xf numFmtId="0" fontId="14" fillId="3" borderId="11" xfId="2" applyFont="1" applyFill="1" applyBorder="1" applyAlignment="1">
      <alignment horizontal="center" vertical="center"/>
    </xf>
    <xf numFmtId="10" fontId="13" fillId="5" borderId="11" xfId="1" applyNumberFormat="1" applyFont="1" applyFill="1" applyBorder="1" applyAlignment="1" applyProtection="1">
      <alignment horizontal="right" vertical="center"/>
    </xf>
    <xf numFmtId="10" fontId="13" fillId="5" borderId="12" xfId="1" applyNumberFormat="1" applyFont="1" applyFill="1" applyBorder="1" applyAlignment="1" applyProtection="1">
      <alignment horizontal="right" vertical="center"/>
    </xf>
    <xf numFmtId="0" fontId="14" fillId="12" borderId="1" xfId="2" applyFont="1" applyFill="1" applyBorder="1" applyAlignment="1">
      <alignment horizontal="left" vertical="center"/>
    </xf>
    <xf numFmtId="0" fontId="14" fillId="3" borderId="2" xfId="2" applyFont="1" applyFill="1" applyBorder="1" applyAlignment="1">
      <alignment horizontal="center" vertical="center"/>
    </xf>
    <xf numFmtId="165" fontId="11" fillId="3" borderId="2" xfId="2" applyNumberFormat="1" applyFont="1" applyFill="1" applyBorder="1" applyAlignment="1">
      <alignment horizontal="right" vertical="center"/>
    </xf>
    <xf numFmtId="165" fontId="11" fillId="5" borderId="2" xfId="2" applyNumberFormat="1" applyFont="1" applyFill="1" applyBorder="1" applyAlignment="1">
      <alignment horizontal="right" vertical="center"/>
    </xf>
    <xf numFmtId="165" fontId="11" fillId="5" borderId="3" xfId="2" applyNumberFormat="1" applyFont="1" applyFill="1" applyBorder="1" applyAlignment="1">
      <alignment horizontal="right" vertical="center"/>
    </xf>
    <xf numFmtId="0" fontId="14" fillId="12" borderId="13" xfId="2" applyFont="1" applyFill="1" applyBorder="1" applyAlignment="1">
      <alignment horizontal="left" vertical="center"/>
    </xf>
    <xf numFmtId="0" fontId="14" fillId="3" borderId="14" xfId="2" applyFont="1" applyFill="1" applyBorder="1" applyAlignment="1">
      <alignment horizontal="center" vertical="center"/>
    </xf>
    <xf numFmtId="165" fontId="11" fillId="3" borderId="14" xfId="2" applyNumberFormat="1" applyFont="1" applyFill="1" applyBorder="1" applyAlignment="1">
      <alignment horizontal="right" vertical="center"/>
    </xf>
    <xf numFmtId="165" fontId="11" fillId="5" borderId="14" xfId="2" applyNumberFormat="1" applyFont="1" applyFill="1" applyBorder="1" applyAlignment="1">
      <alignment horizontal="right" vertical="center"/>
    </xf>
    <xf numFmtId="165" fontId="11" fillId="5" borderId="15" xfId="2" applyNumberFormat="1" applyFont="1" applyFill="1" applyBorder="1" applyAlignment="1">
      <alignment horizontal="right" vertical="center"/>
    </xf>
    <xf numFmtId="10" fontId="13" fillId="3" borderId="5" xfId="1" applyNumberFormat="1" applyFont="1" applyFill="1" applyBorder="1" applyAlignment="1" applyProtection="1">
      <alignment horizontal="right" vertical="center"/>
    </xf>
    <xf numFmtId="10" fontId="24" fillId="5" borderId="5" xfId="1" applyNumberFormat="1" applyFont="1" applyFill="1" applyBorder="1" applyAlignment="1" applyProtection="1">
      <alignment horizontal="right" vertical="center"/>
    </xf>
    <xf numFmtId="10" fontId="24" fillId="3" borderId="5" xfId="1" applyNumberFormat="1" applyFont="1" applyFill="1" applyBorder="1" applyAlignment="1" applyProtection="1">
      <alignment horizontal="right" vertical="center"/>
    </xf>
    <xf numFmtId="10" fontId="24" fillId="5" borderId="8" xfId="1" applyNumberFormat="1" applyFont="1" applyFill="1" applyBorder="1" applyAlignment="1" applyProtection="1">
      <alignment horizontal="right" vertical="center"/>
    </xf>
    <xf numFmtId="0" fontId="14" fillId="12" borderId="16" xfId="2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center" vertical="center"/>
    </xf>
    <xf numFmtId="0" fontId="14" fillId="3" borderId="17" xfId="2" applyFont="1" applyFill="1" applyBorder="1" applyAlignment="1">
      <alignment horizontal="center" vertical="center"/>
    </xf>
    <xf numFmtId="165" fontId="11" fillId="3" borderId="17" xfId="2" applyNumberFormat="1" applyFont="1" applyFill="1" applyBorder="1" applyAlignment="1">
      <alignment horizontal="right" vertical="center"/>
    </xf>
    <xf numFmtId="10" fontId="11" fillId="5" borderId="17" xfId="1" applyNumberFormat="1" applyFont="1" applyFill="1" applyBorder="1" applyAlignment="1">
      <alignment horizontal="right" vertical="center"/>
    </xf>
    <xf numFmtId="10" fontId="11" fillId="5" borderId="18" xfId="1" applyNumberFormat="1" applyFont="1" applyFill="1" applyBorder="1" applyAlignment="1">
      <alignment horizontal="right" vertical="center"/>
    </xf>
    <xf numFmtId="0" fontId="13" fillId="3" borderId="4" xfId="0" applyFont="1" applyFill="1" applyBorder="1" applyAlignment="1">
      <alignment vertical="center"/>
    </xf>
    <xf numFmtId="0" fontId="13" fillId="12" borderId="4" xfId="0" applyFont="1" applyFill="1" applyBorder="1" applyAlignment="1">
      <alignment vertical="center"/>
    </xf>
    <xf numFmtId="0" fontId="6" fillId="11" borderId="9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center" vertical="center"/>
    </xf>
    <xf numFmtId="0" fontId="6" fillId="11" borderId="7" xfId="2" applyFont="1" applyFill="1" applyBorder="1" applyAlignment="1">
      <alignment horizontal="center" vertical="center"/>
    </xf>
  </cellXfs>
  <cellStyles count="4">
    <cellStyle name="Normal" xfId="0" builtinId="0"/>
    <cellStyle name="Normal 2" xfId="2" xr:uid="{3CF208F5-19A5-4784-8663-9080F2171D4B}"/>
    <cellStyle name="Normal 2 3" xfId="3" xr:uid="{8CC42E57-F85A-42F9-BDA7-6E9B760C3D1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D17" sqref="D17"/>
    </sheetView>
  </sheetViews>
  <sheetFormatPr defaultRowHeight="14.4" x14ac:dyDescent="0.3"/>
  <cols>
    <col min="1" max="1" width="82.44140625" style="13" customWidth="1"/>
    <col min="2" max="2" width="23.21875" style="12" bestFit="1" customWidth="1"/>
    <col min="3" max="3" width="6.44140625" style="12" bestFit="1" customWidth="1"/>
    <col min="4" max="4" width="29.5546875" style="12" bestFit="1" customWidth="1"/>
    <col min="5" max="7" width="8.88671875" style="12"/>
    <col min="8" max="8" width="16.109375" style="12" customWidth="1"/>
  </cols>
  <sheetData>
    <row r="1" spans="1:8" ht="28.2" x14ac:dyDescent="0.3">
      <c r="A1" s="17" t="s">
        <v>0</v>
      </c>
      <c r="B1" s="17"/>
      <c r="C1" s="17"/>
      <c r="D1" s="17"/>
      <c r="E1"/>
      <c r="F1"/>
      <c r="G1"/>
      <c r="H1"/>
    </row>
    <row r="2" spans="1:8" ht="15.6" x14ac:dyDescent="0.3">
      <c r="A2" s="18" t="s">
        <v>1</v>
      </c>
      <c r="B2" s="19"/>
      <c r="C2" s="19"/>
      <c r="D2" s="19"/>
      <c r="E2"/>
      <c r="F2"/>
      <c r="G2"/>
      <c r="H2"/>
    </row>
    <row r="3" spans="1:8" ht="15.6" x14ac:dyDescent="0.3">
      <c r="A3" s="18" t="s">
        <v>2</v>
      </c>
      <c r="B3" s="19"/>
      <c r="C3" s="19"/>
      <c r="D3" s="19"/>
      <c r="E3"/>
      <c r="F3"/>
      <c r="G3"/>
      <c r="H3"/>
    </row>
    <row r="4" spans="1:8" ht="15.6" x14ac:dyDescent="0.3">
      <c r="A4" s="18" t="s">
        <v>3</v>
      </c>
      <c r="B4" s="19"/>
      <c r="C4" s="19"/>
      <c r="D4" s="19"/>
      <c r="E4"/>
      <c r="F4"/>
      <c r="G4"/>
      <c r="H4"/>
    </row>
    <row r="5" spans="1:8" ht="15.6" x14ac:dyDescent="0.3">
      <c r="A5" s="18" t="s">
        <v>4</v>
      </c>
      <c r="B5" s="19"/>
      <c r="C5" s="19"/>
      <c r="D5" s="19"/>
      <c r="E5"/>
      <c r="F5"/>
      <c r="G5"/>
      <c r="H5"/>
    </row>
    <row r="6" spans="1:8" ht="15.6" x14ac:dyDescent="0.3">
      <c r="A6" s="18" t="s">
        <v>5</v>
      </c>
      <c r="B6" s="19"/>
      <c r="C6" s="19"/>
      <c r="D6" s="19"/>
      <c r="E6"/>
      <c r="F6"/>
      <c r="G6"/>
      <c r="H6"/>
    </row>
    <row r="7" spans="1:8" ht="15.6" x14ac:dyDescent="0.3">
      <c r="A7" s="18" t="s">
        <v>6</v>
      </c>
      <c r="B7" s="19"/>
      <c r="C7" s="19"/>
      <c r="D7" s="19"/>
      <c r="E7"/>
      <c r="F7"/>
      <c r="G7"/>
      <c r="H7"/>
    </row>
    <row r="8" spans="1:8" ht="17.399999999999999" x14ac:dyDescent="0.3">
      <c r="A8" s="20" t="s">
        <v>7</v>
      </c>
      <c r="B8" s="20"/>
      <c r="C8" s="20"/>
      <c r="D8" s="20"/>
      <c r="E8"/>
      <c r="F8"/>
      <c r="G8"/>
      <c r="H8"/>
    </row>
    <row r="9" spans="1:8" ht="17.399999999999999" x14ac:dyDescent="0.3">
      <c r="A9" s="21" t="s">
        <v>8</v>
      </c>
      <c r="B9" s="10" t="s">
        <v>9</v>
      </c>
      <c r="C9" s="1" t="s">
        <v>10</v>
      </c>
      <c r="D9" s="14" t="s">
        <v>11</v>
      </c>
      <c r="E9"/>
      <c r="F9"/>
      <c r="G9"/>
      <c r="H9"/>
    </row>
    <row r="10" spans="1:8" ht="15.6" x14ac:dyDescent="0.3">
      <c r="A10" s="22" t="s">
        <v>12</v>
      </c>
      <c r="B10" s="2" t="s">
        <v>13</v>
      </c>
      <c r="C10" s="3" t="s">
        <v>14</v>
      </c>
      <c r="D10" s="6">
        <f>D11+D12</f>
        <v>0</v>
      </c>
      <c r="E10"/>
      <c r="F10"/>
      <c r="G10"/>
      <c r="H10"/>
    </row>
    <row r="11" spans="1:8" ht="26.4" x14ac:dyDescent="0.3">
      <c r="A11" s="23" t="s">
        <v>15</v>
      </c>
      <c r="B11" s="4" t="s">
        <v>16</v>
      </c>
      <c r="C11" s="5" t="s">
        <v>14</v>
      </c>
      <c r="D11" s="8"/>
      <c r="E11"/>
      <c r="F11"/>
      <c r="G11"/>
      <c r="H11"/>
    </row>
    <row r="12" spans="1:8" ht="15.6" x14ac:dyDescent="0.3">
      <c r="A12" s="23" t="s">
        <v>17</v>
      </c>
      <c r="B12" s="4" t="s">
        <v>18</v>
      </c>
      <c r="C12" s="5" t="s">
        <v>14</v>
      </c>
      <c r="D12" s="8"/>
      <c r="E12"/>
      <c r="F12"/>
      <c r="G12"/>
      <c r="H12"/>
    </row>
    <row r="13" spans="1:8" ht="31.2" x14ac:dyDescent="0.3">
      <c r="A13" s="22" t="s">
        <v>19</v>
      </c>
      <c r="B13" s="4" t="s">
        <v>20</v>
      </c>
      <c r="C13" s="5" t="s">
        <v>14</v>
      </c>
      <c r="D13" s="8"/>
      <c r="E13"/>
      <c r="F13"/>
      <c r="G13"/>
      <c r="H13"/>
    </row>
    <row r="14" spans="1:8" ht="15.6" x14ac:dyDescent="0.3">
      <c r="A14" s="22" t="s">
        <v>21</v>
      </c>
      <c r="B14" s="2" t="s">
        <v>22</v>
      </c>
      <c r="C14" s="3" t="s">
        <v>14</v>
      </c>
      <c r="D14" s="6">
        <f>D15+D16</f>
        <v>0</v>
      </c>
      <c r="E14"/>
      <c r="F14"/>
      <c r="G14"/>
      <c r="H14"/>
    </row>
    <row r="15" spans="1:8" ht="26.4" x14ac:dyDescent="0.3">
      <c r="A15" s="23" t="s">
        <v>23</v>
      </c>
      <c r="B15" s="4" t="s">
        <v>24</v>
      </c>
      <c r="C15" s="5" t="s">
        <v>14</v>
      </c>
      <c r="D15" s="8"/>
      <c r="E15"/>
      <c r="F15"/>
      <c r="G15"/>
      <c r="H15"/>
    </row>
    <row r="16" spans="1:8" ht="15.6" x14ac:dyDescent="0.3">
      <c r="A16" s="23" t="s">
        <v>25</v>
      </c>
      <c r="B16" s="4" t="s">
        <v>26</v>
      </c>
      <c r="C16" s="5" t="s">
        <v>14</v>
      </c>
      <c r="D16" s="8"/>
      <c r="E16"/>
      <c r="F16"/>
      <c r="G16"/>
      <c r="H16"/>
    </row>
    <row r="17" spans="1:8" ht="31.2" x14ac:dyDescent="0.3">
      <c r="A17" s="22" t="s">
        <v>27</v>
      </c>
      <c r="B17" s="2" t="s">
        <v>28</v>
      </c>
      <c r="C17" s="2" t="s">
        <v>14</v>
      </c>
      <c r="D17" s="6">
        <f>D10-D14+SectionB!H17</f>
        <v>0</v>
      </c>
      <c r="E17"/>
      <c r="F17"/>
      <c r="G17"/>
      <c r="H17"/>
    </row>
    <row r="18" spans="1:8" ht="33.6" x14ac:dyDescent="0.3">
      <c r="A18" s="22" t="s">
        <v>29</v>
      </c>
      <c r="B18" s="2" t="s">
        <v>30</v>
      </c>
      <c r="C18" s="2" t="s">
        <v>31</v>
      </c>
      <c r="D18" s="24"/>
      <c r="E18"/>
      <c r="F18"/>
      <c r="G18"/>
      <c r="H18"/>
    </row>
    <row r="19" spans="1:8" ht="18" x14ac:dyDescent="0.3">
      <c r="A19" s="22" t="s">
        <v>32</v>
      </c>
      <c r="B19" s="11" t="s">
        <v>33</v>
      </c>
      <c r="C19" s="2" t="s">
        <v>14</v>
      </c>
      <c r="D19" s="6">
        <f>D17+D13</f>
        <v>0</v>
      </c>
      <c r="E19"/>
      <c r="F19"/>
      <c r="G19"/>
      <c r="H19"/>
    </row>
  </sheetData>
  <mergeCells count="8">
    <mergeCell ref="B6:D6"/>
    <mergeCell ref="B7:D7"/>
    <mergeCell ref="A1:D1"/>
    <mergeCell ref="A8:D8"/>
    <mergeCell ref="B2:D2"/>
    <mergeCell ref="B3:D3"/>
    <mergeCell ref="B4:D4"/>
    <mergeCell ref="B5:D5"/>
  </mergeCells>
  <dataValidations count="2">
    <dataValidation type="decimal" allowBlank="1" showInputMessage="1" showErrorMessage="1" promptTitle="Input" prompt="Please enter a positive numeric value. Can include decimals." sqref="D18:D19" xr:uid="{A1E4EB62-DB6E-49DE-BCC8-63E00E6919FF}">
      <formula1>0</formula1>
      <formula2>9.99999999999999E+23</formula2>
    </dataValidation>
    <dataValidation type="decimal" allowBlank="1" showInputMessage="1" showErrorMessage="1" promptTitle="Input" prompt="Please enter a positive numeric value. Can include decimals." sqref="D15:D16 D11:D13" xr:uid="{A2CC35B8-D139-4904-8379-49BD797C64E4}">
      <formula1>0</formula1>
      <formula2>9.99999999999999E+27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8D93-E58D-493A-9B14-A0F3DA4E64BD}">
  <dimension ref="A1:H20"/>
  <sheetViews>
    <sheetView workbookViewId="0">
      <selection activeCell="F6" sqref="F6"/>
    </sheetView>
  </sheetViews>
  <sheetFormatPr defaultRowHeight="14.4" x14ac:dyDescent="0.3"/>
  <cols>
    <col min="1" max="1" width="63.21875" style="12" bestFit="1" customWidth="1"/>
    <col min="2" max="2" width="19.6640625" style="12" bestFit="1" customWidth="1"/>
    <col min="3" max="3" width="11.33203125" style="12" bestFit="1" customWidth="1"/>
    <col min="4" max="4" width="14.5546875" style="12" bestFit="1" customWidth="1"/>
    <col min="5" max="5" width="15.44140625" style="12" bestFit="1" customWidth="1"/>
    <col min="6" max="6" width="25" style="12" bestFit="1" customWidth="1"/>
    <col min="7" max="7" width="15.21875" style="12" bestFit="1" customWidth="1"/>
    <col min="8" max="8" width="10.21875" style="12" bestFit="1" customWidth="1"/>
  </cols>
  <sheetData>
    <row r="1" spans="1:8" ht="17.399999999999999" x14ac:dyDescent="0.3">
      <c r="A1" s="50" t="s">
        <v>34</v>
      </c>
      <c r="B1" s="51"/>
      <c r="C1" s="51"/>
      <c r="D1" s="51"/>
      <c r="E1" s="51"/>
      <c r="F1" s="51"/>
      <c r="G1" s="51"/>
      <c r="H1" s="52"/>
    </row>
    <row r="2" spans="1:8" ht="19.2" x14ac:dyDescent="0.3">
      <c r="A2" s="39" t="s">
        <v>35</v>
      </c>
      <c r="B2" s="40" t="s">
        <v>9</v>
      </c>
      <c r="C2" s="25" t="s">
        <v>10</v>
      </c>
      <c r="D2" s="26" t="s">
        <v>36</v>
      </c>
      <c r="E2" s="26" t="s">
        <v>37</v>
      </c>
      <c r="F2" s="27" t="s">
        <v>38</v>
      </c>
      <c r="G2" s="26" t="s">
        <v>39</v>
      </c>
      <c r="H2" s="28" t="s">
        <v>40</v>
      </c>
    </row>
    <row r="3" spans="1:8" ht="16.2" x14ac:dyDescent="0.3">
      <c r="A3" s="29" t="s">
        <v>41</v>
      </c>
      <c r="B3" s="41" t="s">
        <v>42</v>
      </c>
      <c r="C3" s="16" t="s">
        <v>14</v>
      </c>
      <c r="D3" s="30">
        <f>D4+D5+D6+D9+D10</f>
        <v>0</v>
      </c>
      <c r="E3" s="30">
        <f>E4+E5+E6+E9+E10</f>
        <v>0</v>
      </c>
      <c r="F3" s="30">
        <f>F4+F5+F6+F9+F10</f>
        <v>0</v>
      </c>
      <c r="G3" s="30">
        <f>G4+G5+G6+G9+G10</f>
        <v>0</v>
      </c>
      <c r="H3" s="31">
        <f>H4+H5+H6+H9+H10</f>
        <v>0</v>
      </c>
    </row>
    <row r="4" spans="1:8" x14ac:dyDescent="0.3">
      <c r="A4" s="42" t="s">
        <v>43</v>
      </c>
      <c r="B4" s="43" t="s">
        <v>44</v>
      </c>
      <c r="C4" s="44" t="s">
        <v>14</v>
      </c>
      <c r="D4" s="45"/>
      <c r="E4" s="32"/>
      <c r="F4" s="32"/>
      <c r="G4" s="8"/>
      <c r="H4" s="33">
        <f>D4+G4</f>
        <v>0</v>
      </c>
    </row>
    <row r="5" spans="1:8" x14ac:dyDescent="0.3">
      <c r="A5" s="42" t="s">
        <v>45</v>
      </c>
      <c r="B5" s="43" t="s">
        <v>46</v>
      </c>
      <c r="C5" s="44" t="s">
        <v>14</v>
      </c>
      <c r="D5" s="46"/>
      <c r="E5" s="8"/>
      <c r="F5" s="32"/>
      <c r="G5" s="8"/>
      <c r="H5" s="33">
        <f>E5+G5</f>
        <v>0</v>
      </c>
    </row>
    <row r="6" spans="1:8" x14ac:dyDescent="0.3">
      <c r="A6" s="47" t="s">
        <v>47</v>
      </c>
      <c r="B6" s="43" t="s">
        <v>48</v>
      </c>
      <c r="C6" s="44" t="s">
        <v>14</v>
      </c>
      <c r="D6" s="46"/>
      <c r="E6" s="32"/>
      <c r="F6" s="34">
        <f>SUM(F7:F8)</f>
        <v>0</v>
      </c>
      <c r="G6" s="32"/>
      <c r="H6" s="33">
        <f>F6</f>
        <v>0</v>
      </c>
    </row>
    <row r="7" spans="1:8" ht="15.6" x14ac:dyDescent="0.3">
      <c r="A7" s="48" t="s">
        <v>49</v>
      </c>
      <c r="B7" s="43" t="s">
        <v>50</v>
      </c>
      <c r="C7" s="44" t="s">
        <v>14</v>
      </c>
      <c r="D7" s="46"/>
      <c r="E7" s="32"/>
      <c r="F7" s="8"/>
      <c r="G7" s="32"/>
      <c r="H7" s="35"/>
    </row>
    <row r="8" spans="1:8" ht="15.6" x14ac:dyDescent="0.3">
      <c r="A8" s="48" t="s">
        <v>51</v>
      </c>
      <c r="B8" s="43" t="s">
        <v>52</v>
      </c>
      <c r="C8" s="44" t="s">
        <v>14</v>
      </c>
      <c r="D8" s="46"/>
      <c r="E8" s="32"/>
      <c r="F8" s="8"/>
      <c r="G8" s="32"/>
      <c r="H8" s="35"/>
    </row>
    <row r="9" spans="1:8" x14ac:dyDescent="0.3">
      <c r="A9" s="42" t="s">
        <v>53</v>
      </c>
      <c r="B9" s="43" t="s">
        <v>54</v>
      </c>
      <c r="C9" s="44" t="s">
        <v>14</v>
      </c>
      <c r="D9" s="46"/>
      <c r="E9" s="32"/>
      <c r="F9" s="32"/>
      <c r="G9" s="8"/>
      <c r="H9" s="33">
        <f>G9</f>
        <v>0</v>
      </c>
    </row>
    <row r="10" spans="1:8" ht="15.6" x14ac:dyDescent="0.3">
      <c r="A10" s="42" t="s">
        <v>17</v>
      </c>
      <c r="B10" s="43" t="s">
        <v>55</v>
      </c>
      <c r="C10" s="44" t="s">
        <v>14</v>
      </c>
      <c r="D10" s="46"/>
      <c r="E10" s="32"/>
      <c r="F10" s="32"/>
      <c r="G10" s="8"/>
      <c r="H10" s="33">
        <f>G10</f>
        <v>0</v>
      </c>
    </row>
    <row r="11" spans="1:8" ht="16.2" x14ac:dyDescent="0.3">
      <c r="A11" s="29" t="s">
        <v>56</v>
      </c>
      <c r="B11" s="41" t="s">
        <v>57</v>
      </c>
      <c r="C11" s="36" t="s">
        <v>14</v>
      </c>
      <c r="D11" s="6">
        <f>SUM(D12:D16)</f>
        <v>0</v>
      </c>
      <c r="E11" s="6">
        <f>SUM(E12:E16)</f>
        <v>0</v>
      </c>
      <c r="F11" s="6">
        <f>SUM(F12:F16)</f>
        <v>0</v>
      </c>
      <c r="G11" s="6">
        <f>SUM(G12:G16)</f>
        <v>0</v>
      </c>
      <c r="H11" s="7">
        <f>SUM(H12:H16)</f>
        <v>0</v>
      </c>
    </row>
    <row r="12" spans="1:8" x14ac:dyDescent="0.3">
      <c r="A12" s="42" t="s">
        <v>58</v>
      </c>
      <c r="B12" s="43" t="s">
        <v>59</v>
      </c>
      <c r="C12" s="44" t="s">
        <v>14</v>
      </c>
      <c r="D12" s="45"/>
      <c r="E12" s="32"/>
      <c r="F12" s="32"/>
      <c r="G12" s="8"/>
      <c r="H12" s="37">
        <f>D12+G12</f>
        <v>0</v>
      </c>
    </row>
    <row r="13" spans="1:8" x14ac:dyDescent="0.3">
      <c r="A13" s="42" t="s">
        <v>60</v>
      </c>
      <c r="B13" s="43" t="s">
        <v>61</v>
      </c>
      <c r="C13" s="44" t="s">
        <v>14</v>
      </c>
      <c r="D13" s="46"/>
      <c r="E13" s="8"/>
      <c r="F13" s="32"/>
      <c r="G13" s="8"/>
      <c r="H13" s="33">
        <f>E13+G13</f>
        <v>0</v>
      </c>
    </row>
    <row r="14" spans="1:8" x14ac:dyDescent="0.3">
      <c r="A14" s="47" t="s">
        <v>62</v>
      </c>
      <c r="B14" s="43" t="s">
        <v>63</v>
      </c>
      <c r="C14" s="44" t="s">
        <v>14</v>
      </c>
      <c r="D14" s="46"/>
      <c r="E14" s="32"/>
      <c r="F14" s="8"/>
      <c r="G14" s="32"/>
      <c r="H14" s="33">
        <f>F14</f>
        <v>0</v>
      </c>
    </row>
    <row r="15" spans="1:8" x14ac:dyDescent="0.3">
      <c r="A15" s="42" t="s">
        <v>64</v>
      </c>
      <c r="B15" s="43" t="s">
        <v>65</v>
      </c>
      <c r="C15" s="44" t="s">
        <v>14</v>
      </c>
      <c r="D15" s="46"/>
      <c r="E15" s="32"/>
      <c r="F15" s="32"/>
      <c r="G15" s="8"/>
      <c r="H15" s="38">
        <f>G15</f>
        <v>0</v>
      </c>
    </row>
    <row r="16" spans="1:8" ht="15.6" x14ac:dyDescent="0.3">
      <c r="A16" s="42" t="s">
        <v>25</v>
      </c>
      <c r="B16" s="43" t="s">
        <v>66</v>
      </c>
      <c r="C16" s="44" t="s">
        <v>14</v>
      </c>
      <c r="D16" s="46"/>
      <c r="E16" s="32"/>
      <c r="F16" s="32"/>
      <c r="G16" s="8"/>
      <c r="H16" s="38">
        <f>G16</f>
        <v>0</v>
      </c>
    </row>
    <row r="17" spans="1:8" ht="15.6" x14ac:dyDescent="0.3">
      <c r="A17" s="49" t="s">
        <v>67</v>
      </c>
      <c r="B17" s="41" t="s">
        <v>68</v>
      </c>
      <c r="C17" s="36" t="s">
        <v>14</v>
      </c>
      <c r="D17" s="6">
        <f>D3-D11</f>
        <v>0</v>
      </c>
      <c r="E17" s="6">
        <f>E3-E11</f>
        <v>0</v>
      </c>
      <c r="F17" s="6">
        <f>F3-F11</f>
        <v>0</v>
      </c>
      <c r="G17" s="6">
        <f>G3-G11</f>
        <v>0</v>
      </c>
      <c r="H17" s="7">
        <f>H3-H11</f>
        <v>0</v>
      </c>
    </row>
    <row r="18" spans="1:8" ht="16.2" x14ac:dyDescent="0.3">
      <c r="A18" s="49" t="s">
        <v>69</v>
      </c>
      <c r="B18" s="41" t="s">
        <v>70</v>
      </c>
      <c r="C18" s="36" t="s">
        <v>14</v>
      </c>
      <c r="D18" s="46"/>
      <c r="E18" s="46"/>
      <c r="F18" s="46"/>
      <c r="G18" s="46"/>
      <c r="H18" s="7">
        <f>(H19+H20)/1000</f>
        <v>0</v>
      </c>
    </row>
    <row r="19" spans="1:8" x14ac:dyDescent="0.3">
      <c r="A19" s="15" t="s">
        <v>71</v>
      </c>
      <c r="B19" s="43" t="s">
        <v>72</v>
      </c>
      <c r="C19" s="44" t="s">
        <v>73</v>
      </c>
      <c r="D19" s="46"/>
      <c r="E19" s="46"/>
      <c r="F19" s="46"/>
      <c r="G19" s="46"/>
      <c r="H19" s="9"/>
    </row>
    <row r="20" spans="1:8" x14ac:dyDescent="0.3">
      <c r="A20" s="15" t="s">
        <v>74</v>
      </c>
      <c r="B20" s="43" t="s">
        <v>75</v>
      </c>
      <c r="C20" s="44" t="s">
        <v>73</v>
      </c>
      <c r="D20" s="46"/>
      <c r="E20" s="46"/>
      <c r="F20" s="46"/>
      <c r="G20" s="46"/>
      <c r="H20" s="9"/>
    </row>
  </sheetData>
  <mergeCells count="1">
    <mergeCell ref="A1:H1"/>
  </mergeCells>
  <dataValidations count="1">
    <dataValidation type="decimal" allowBlank="1" showInputMessage="1" showErrorMessage="1" promptTitle="Input" prompt="Please enter a positive numeric value. Can include decimals." sqref="D4 G4:G5 E5 F7:F8 G9:G10 D12 E13 G12:G13 F14 H19:H20 G15:G16" xr:uid="{5206AD65-5231-4B24-8E8B-E42F686D4BF0}">
      <formula1>0</formula1>
      <formula2>9.99999999999999E+27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8012-9C28-4C21-A23B-EAD43EC4D9E8}">
  <dimension ref="A1:H12"/>
  <sheetViews>
    <sheetView tabSelected="1" workbookViewId="0">
      <selection activeCell="D4" sqref="D4"/>
    </sheetView>
  </sheetViews>
  <sheetFormatPr defaultRowHeight="14.4" x14ac:dyDescent="0.3"/>
  <cols>
    <col min="1" max="1" width="29.77734375" style="12" bestFit="1" customWidth="1"/>
    <col min="2" max="2" width="11.88671875" style="12" bestFit="1" customWidth="1"/>
    <col min="3" max="3" width="6.44140625" style="12" bestFit="1" customWidth="1"/>
    <col min="4" max="4" width="14.5546875" style="12" bestFit="1" customWidth="1"/>
    <col min="5" max="5" width="15.44140625" style="12" bestFit="1" customWidth="1"/>
    <col min="6" max="6" width="25" style="12" bestFit="1" customWidth="1"/>
    <col min="7" max="7" width="15.21875" style="12" bestFit="1" customWidth="1"/>
    <col min="8" max="8" width="7.5546875" style="12" bestFit="1" customWidth="1"/>
  </cols>
  <sheetData>
    <row r="1" spans="1:8" ht="17.399999999999999" x14ac:dyDescent="0.3">
      <c r="A1" s="91" t="s">
        <v>76</v>
      </c>
      <c r="B1" s="92"/>
      <c r="C1" s="92"/>
      <c r="D1" s="92"/>
      <c r="E1" s="92"/>
      <c r="F1" s="92"/>
      <c r="G1" s="92"/>
      <c r="H1" s="93"/>
    </row>
    <row r="2" spans="1:8" ht="19.2" x14ac:dyDescent="0.3">
      <c r="A2" s="53" t="s">
        <v>77</v>
      </c>
      <c r="B2" s="10" t="s">
        <v>9</v>
      </c>
      <c r="C2" s="1" t="s">
        <v>10</v>
      </c>
      <c r="D2" s="54" t="s">
        <v>36</v>
      </c>
      <c r="E2" s="54" t="s">
        <v>37</v>
      </c>
      <c r="F2" s="14" t="s">
        <v>38</v>
      </c>
      <c r="G2" s="54" t="s">
        <v>39</v>
      </c>
      <c r="H2" s="55" t="s">
        <v>40</v>
      </c>
    </row>
    <row r="3" spans="1:8" ht="15.6" x14ac:dyDescent="0.3">
      <c r="A3" s="64" t="s">
        <v>78</v>
      </c>
      <c r="B3" s="56" t="s">
        <v>79</v>
      </c>
      <c r="C3" s="5" t="s">
        <v>31</v>
      </c>
      <c r="D3" s="57"/>
      <c r="E3" s="57"/>
      <c r="F3" s="57"/>
      <c r="G3" s="57"/>
      <c r="H3" s="58"/>
    </row>
    <row r="4" spans="1:8" x14ac:dyDescent="0.3">
      <c r="A4" s="64" t="s">
        <v>80</v>
      </c>
      <c r="B4" s="56" t="s">
        <v>81</v>
      </c>
      <c r="C4" s="5" t="s">
        <v>14</v>
      </c>
      <c r="D4" s="59">
        <f>SectionA!$D$17*D3</f>
        <v>0</v>
      </c>
      <c r="E4" s="59">
        <f>SectionA!$D$17*E3</f>
        <v>0</v>
      </c>
      <c r="F4" s="59">
        <f>SectionA!$D$17*F3</f>
        <v>0</v>
      </c>
      <c r="G4" s="59">
        <f>SectionA!$D$17*G3</f>
        <v>0</v>
      </c>
      <c r="H4" s="59">
        <f>SectionA!$D$17*H3</f>
        <v>0</v>
      </c>
    </row>
    <row r="5" spans="1:8" x14ac:dyDescent="0.3">
      <c r="A5" s="89" t="s">
        <v>82</v>
      </c>
      <c r="B5" s="56" t="s">
        <v>83</v>
      </c>
      <c r="C5" s="5" t="s">
        <v>14</v>
      </c>
      <c r="D5" s="60">
        <f>SectionB!D17</f>
        <v>0</v>
      </c>
      <c r="E5" s="60">
        <f>SectionB!E17</f>
        <v>0</v>
      </c>
      <c r="F5" s="60">
        <f>SectionB!F17</f>
        <v>0</v>
      </c>
      <c r="G5" s="60">
        <f>SectionB!G17</f>
        <v>0</v>
      </c>
      <c r="H5" s="60">
        <f>SectionB!H17</f>
        <v>0</v>
      </c>
    </row>
    <row r="6" spans="1:8" x14ac:dyDescent="0.3">
      <c r="A6" s="89" t="s">
        <v>84</v>
      </c>
      <c r="B6" s="4" t="s">
        <v>85</v>
      </c>
      <c r="C6" s="5" t="s">
        <v>31</v>
      </c>
      <c r="D6" s="62">
        <f>IF($E$18=0,0,D5/$E$18)</f>
        <v>0</v>
      </c>
      <c r="E6" s="62">
        <f t="shared" ref="E6:G6" si="0">IF($E$18=0,0,E5/$E$18)</f>
        <v>0</v>
      </c>
      <c r="F6" s="62">
        <f t="shared" si="0"/>
        <v>0</v>
      </c>
      <c r="G6" s="62">
        <f t="shared" si="0"/>
        <v>0</v>
      </c>
      <c r="H6" s="63">
        <f>IF($E$18=0,0,H5/$E$18)</f>
        <v>0</v>
      </c>
    </row>
    <row r="7" spans="1:8" ht="15.6" x14ac:dyDescent="0.3">
      <c r="A7" s="64" t="s">
        <v>86</v>
      </c>
      <c r="B7" s="5" t="s">
        <v>87</v>
      </c>
      <c r="C7" s="5" t="s">
        <v>14</v>
      </c>
      <c r="D7" s="60">
        <f>D5-D4</f>
        <v>0</v>
      </c>
      <c r="E7" s="60">
        <f>E5-E4</f>
        <v>0</v>
      </c>
      <c r="F7" s="60">
        <f>F5-F4</f>
        <v>0</v>
      </c>
      <c r="G7" s="60">
        <f>G5-G4</f>
        <v>0</v>
      </c>
      <c r="H7" s="61">
        <f>H5-H4</f>
        <v>0</v>
      </c>
    </row>
    <row r="8" spans="1:8" ht="16.2" thickBot="1" x14ac:dyDescent="0.35">
      <c r="A8" s="65" t="s">
        <v>88</v>
      </c>
      <c r="B8" s="66" t="s">
        <v>89</v>
      </c>
      <c r="C8" s="66" t="s">
        <v>31</v>
      </c>
      <c r="D8" s="67">
        <f>D6-D3</f>
        <v>0</v>
      </c>
      <c r="E8" s="67">
        <f>E6-E3</f>
        <v>0</v>
      </c>
      <c r="F8" s="67">
        <f>F6-F3</f>
        <v>0</v>
      </c>
      <c r="G8" s="67">
        <f>G6-G3</f>
        <v>0</v>
      </c>
      <c r="H8" s="68">
        <f>H6-H3</f>
        <v>0</v>
      </c>
    </row>
    <row r="9" spans="1:8" ht="15.6" x14ac:dyDescent="0.3">
      <c r="A9" s="69" t="s">
        <v>90</v>
      </c>
      <c r="B9" s="70" t="s">
        <v>91</v>
      </c>
      <c r="C9" s="70" t="s">
        <v>14</v>
      </c>
      <c r="D9" s="71"/>
      <c r="E9" s="71"/>
      <c r="F9" s="72">
        <f>IF(F7&gt;=0,F7,IF((#REF!+F7)&gt;0,0,#REF!+F7))</f>
        <v>0</v>
      </c>
      <c r="G9" s="71"/>
      <c r="H9" s="73" t="e">
        <f>#REF!+H7</f>
        <v>#REF!</v>
      </c>
    </row>
    <row r="10" spans="1:8" x14ac:dyDescent="0.3">
      <c r="A10" s="74" t="s">
        <v>92</v>
      </c>
      <c r="B10" s="75"/>
      <c r="C10" s="75" t="s">
        <v>14</v>
      </c>
      <c r="D10" s="76"/>
      <c r="E10" s="76"/>
      <c r="F10" s="77">
        <f>F4+F9</f>
        <v>0</v>
      </c>
      <c r="G10" s="76"/>
      <c r="H10" s="78" t="e">
        <f>H4+H9</f>
        <v>#REF!</v>
      </c>
    </row>
    <row r="11" spans="1:8" x14ac:dyDescent="0.3">
      <c r="A11" s="90" t="s">
        <v>93</v>
      </c>
      <c r="B11" s="4" t="s">
        <v>94</v>
      </c>
      <c r="C11" s="5" t="s">
        <v>31</v>
      </c>
      <c r="D11" s="79"/>
      <c r="E11" s="79"/>
      <c r="F11" s="80">
        <f>IF($E$18=0,0,F10/$E$18)</f>
        <v>0</v>
      </c>
      <c r="G11" s="81"/>
      <c r="H11" s="82">
        <f>IF($E$18=0,0,H10/$E$18)</f>
        <v>0</v>
      </c>
    </row>
    <row r="12" spans="1:8" ht="16.2" thickBot="1" x14ac:dyDescent="0.35">
      <c r="A12" s="83" t="s">
        <v>90</v>
      </c>
      <c r="B12" s="84" t="s">
        <v>95</v>
      </c>
      <c r="C12" s="85" t="s">
        <v>31</v>
      </c>
      <c r="D12" s="86"/>
      <c r="E12" s="86"/>
      <c r="F12" s="87">
        <f>F11-F3</f>
        <v>0</v>
      </c>
      <c r="G12" s="86"/>
      <c r="H12" s="88">
        <f>H11-H3</f>
        <v>0</v>
      </c>
    </row>
  </sheetData>
  <mergeCells count="1">
    <mergeCell ref="A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SectionA</vt:lpstr>
      <vt:lpstr>SectionB</vt:lpstr>
      <vt:lpstr>SectionC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Maji, Souvik</cp:lastModifiedBy>
  <dcterms:created xsi:type="dcterms:W3CDTF">2015-06-05T18:17:20Z</dcterms:created>
  <dcterms:modified xsi:type="dcterms:W3CDTF">2026-07-30T10:35:55Z</dcterms:modified>
</cp:coreProperties>
</file>